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d6b73780c4ad979/Desktop/portfolio DA/"/>
    </mc:Choice>
  </mc:AlternateContent>
  <xr:revisionPtr revIDLastSave="495" documentId="11_F25DC773A252ABDACC1048C3619D58365ADE58EC" xr6:coauthVersionLast="47" xr6:coauthVersionMax="47" xr10:uidLastSave="{043AD6D3-4854-4548-852A-EAFD68CC0E94}"/>
  <bookViews>
    <workbookView xWindow="-120" yWindow="-120" windowWidth="29040" windowHeight="15840" activeTab="3" xr2:uid="{00000000-000D-0000-FFFF-FFFF00000000}"/>
  </bookViews>
  <sheets>
    <sheet name="Forcasting" sheetId="1" r:id="rId1"/>
    <sheet name="Sensitivity " sheetId="2" r:id="rId2"/>
    <sheet name="Regression" sheetId="3" r:id="rId3"/>
    <sheet name="Optimiz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" l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2" i="1"/>
</calcChain>
</file>

<file path=xl/sharedStrings.xml><?xml version="1.0" encoding="utf-8"?>
<sst xmlns="http://schemas.openxmlformats.org/spreadsheetml/2006/main" count="119" uniqueCount="85">
  <si>
    <t>Year</t>
  </si>
  <si>
    <t>Baseline</t>
  </si>
  <si>
    <t>Emissions after policies</t>
  </si>
  <si>
    <t>5-Year SMA</t>
  </si>
  <si>
    <t>Exponential Smoothing (α = 0.3)</t>
  </si>
  <si>
    <t>Deforestation</t>
  </si>
  <si>
    <t>-10% of deforestation</t>
  </si>
  <si>
    <t>Renewables</t>
  </si>
  <si>
    <t>-0.02 $/KWH</t>
  </si>
  <si>
    <t>Carbon Price</t>
  </si>
  <si>
    <t>10$/ton CO2</t>
  </si>
  <si>
    <t>Coal</t>
  </si>
  <si>
    <t>10 $/Ton</t>
  </si>
  <si>
    <t>Waste and Leakage</t>
  </si>
  <si>
    <t>10% of potential reduction</t>
  </si>
  <si>
    <t>Population</t>
  </si>
  <si>
    <t>Electrification</t>
  </si>
  <si>
    <t>10% of purchase cost</t>
  </si>
  <si>
    <t>Nature-Based</t>
  </si>
  <si>
    <t>10% of max potential</t>
  </si>
  <si>
    <t>Nuclear</t>
  </si>
  <si>
    <t>-0.02$/KWH</t>
  </si>
  <si>
    <t>Bioenergy</t>
  </si>
  <si>
    <t>10$/boe</t>
  </si>
  <si>
    <t>Agricultural Emissions</t>
  </si>
  <si>
    <t>Oil</t>
  </si>
  <si>
    <t>10 $/barrel</t>
  </si>
  <si>
    <t>Technological</t>
  </si>
  <si>
    <t>Natural Gas</t>
  </si>
  <si>
    <t>0.1$/MCF</t>
  </si>
  <si>
    <t>New Zero-Carbon</t>
  </si>
  <si>
    <t> </t>
  </si>
  <si>
    <t>Energy Efficiency</t>
  </si>
  <si>
    <t>Economic Growth</t>
  </si>
  <si>
    <t>0.02$/KWH</t>
  </si>
  <si>
    <t>Resulting Emissions (Gt in 2100)</t>
  </si>
  <si>
    <t>Change in emission%</t>
  </si>
  <si>
    <t>Type</t>
  </si>
  <si>
    <t>Change</t>
  </si>
  <si>
    <t>Emissions Base Line</t>
  </si>
  <si>
    <t>Coal ($/ton)</t>
  </si>
  <si>
    <t>Renewables Subsidy ($/kWh) (Coded)</t>
  </si>
  <si>
    <t>Oil ($/barrel)</t>
  </si>
  <si>
    <t>Nuclear Policy</t>
  </si>
  <si>
    <t>Natural Gas ($/MCF)</t>
  </si>
  <si>
    <t>Bio-Energy ($/boe)</t>
  </si>
  <si>
    <t>Carbon Price ($/ton)</t>
  </si>
  <si>
    <t>Transport Electrification (%)</t>
  </si>
  <si>
    <t>Building Electrification (%)</t>
  </si>
  <si>
    <t>Deforestation (%)</t>
  </si>
  <si>
    <t>Carbon/Nature Removal (%)</t>
  </si>
  <si>
    <t>Carbon/Technology Removal (%)</t>
  </si>
  <si>
    <t>ANOVA</t>
  </si>
  <si>
    <t>R Square</t>
  </si>
  <si>
    <t>SUMMARY OUTPUT</t>
  </si>
  <si>
    <t>Regression Statistics</t>
  </si>
  <si>
    <t>Multiple R</t>
  </si>
  <si>
    <t>Adjusted R Square</t>
  </si>
  <si>
    <t>Standard Error</t>
  </si>
  <si>
    <t>Observations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</si>
  <si>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</si>
  <si>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</si>
  <si>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</si>
  <si>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</si>
  <si>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</si>
  <si>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</si>
  <si>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</si>
  <si>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</si>
  <si>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</si>
  <si>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</si>
  <si>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</si>
  <si>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</si>
  <si>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</si>
  <si>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</si>
  <si>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</si>
  <si>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</si>
  <si>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Renewables Subsidy ($/kWh)(Converted to avoid scaling issue)(For Emissions)</t>
  </si>
  <si>
    <t>Carbon/Technology (%)</t>
  </si>
  <si>
    <t>Emissions in 2100 (Gt)</t>
  </si>
  <si>
    <t>Renewables Subsidy ($/kWh)</t>
  </si>
  <si>
    <t>Current</t>
  </si>
  <si>
    <t>Coefficience</t>
  </si>
  <si>
    <t>Baseline values</t>
  </si>
  <si>
    <t>Emissions_Baseline_2100</t>
  </si>
  <si>
    <t>Optimized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</si>
</sst>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4" fillId="0" borderId="4" xfId="0" applyFont="1" applyBorder="1"/>
    <xf numFmtId="0" fontId="4" fillId="0" borderId="5" xfId="0" quotePrefix="1" applyFont="1" applyBorder="1"/>
    <xf numFmtId="0" fontId="4" fillId="0" borderId="6" xfId="0" applyFont="1" applyBorder="1"/>
    <xf numFmtId="0" fontId="4" fillId="0" borderId="5" xfId="0" applyFont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10" fontId="4" fillId="0" borderId="6" xfId="0" applyNumberFormat="1" applyFont="1" applyBorder="1"/>
    <xf numFmtId="0" fontId="1" fillId="3" borderId="0" xfId="0" applyFont="1" applyFill="1"/>
    <xf numFmtId="0" fontId="2" fillId="3" borderId="0" xfId="0" applyFont="1" applyFill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0" fillId="0" borderId="2" xfId="0" applyBorder="1"/>
    <xf numFmtId="0" fontId="0" fillId="0" borderId="7" xfId="0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Continuous"/>
    </xf>
    <xf numFmtId="0" fontId="1" fillId="5" borderId="2" xfId="0" applyFont="1" applyFill="1" applyBorder="1"/>
    <xf numFmtId="2" fontId="0" fillId="0" borderId="0" xfId="0" applyNumberFormat="1"/>
    <xf numFmtId="2" fontId="0" fillId="0" borderId="7" xfId="0" applyNumberFormat="1" applyBorder="1"/>
    <xf numFmtId="0" fontId="3" fillId="6" borderId="2" xfId="0" applyFont="1" applyFill="1" applyBorder="1"/>
    <xf numFmtId="0" fontId="4" fillId="0" borderId="2" xfId="0" applyFont="1" applyBorder="1"/>
    <xf numFmtId="2" fontId="0" fillId="0" borderId="2" xfId="0" applyNumberFormat="1" applyBorder="1"/>
    <xf numFmtId="0" fontId="4" fillId="0" borderId="0" xfId="0" applyFont="1"/>
    <xf numFmtId="0" fontId="3" fillId="6" borderId="2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165" fontId="4" fillId="0" borderId="2" xfId="0" applyNumberFormat="1" applyFont="1" applyBorder="1"/>
    <xf numFmtId="165" fontId="4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70" baseline="0">
                <a:solidFill>
                  <a:sysClr val="windowText" lastClr="000000">
                    <a:lumMod val="50000"/>
                    <a:lumOff val="50000"/>
                  </a:sysClr>
                </a:solidFill>
                <a:effectLst/>
              </a:rPr>
              <a:t>Actual vs Smoothed Trends</a:t>
            </a:r>
            <a:endParaRPr lang="en-US" sz="1400" b="0" i="0" u="none" strike="noStrike" kern="1200" spc="70" baseline="0">
              <a:solidFill>
                <a:sysClr val="windowText" lastClr="000000">
                  <a:lumMod val="50000"/>
                  <a:lumOff val="50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Forcasting!$B$1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Forcasting!$A$2:$A$102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Forcasting!$B$2:$B$102</c:f>
              <c:numCache>
                <c:formatCode>0.0</c:formatCode>
                <c:ptCount val="101"/>
                <c:pt idx="0">
                  <c:v>40.83</c:v>
                </c:pt>
                <c:pt idx="1">
                  <c:v>41.67</c:v>
                </c:pt>
                <c:pt idx="2">
                  <c:v>42.52</c:v>
                </c:pt>
                <c:pt idx="3">
                  <c:v>43.39</c:v>
                </c:pt>
                <c:pt idx="4">
                  <c:v>44.4</c:v>
                </c:pt>
                <c:pt idx="5">
                  <c:v>45.53</c:v>
                </c:pt>
                <c:pt idx="6">
                  <c:v>46.68</c:v>
                </c:pt>
                <c:pt idx="7">
                  <c:v>47.92</c:v>
                </c:pt>
                <c:pt idx="8">
                  <c:v>49.11</c:v>
                </c:pt>
                <c:pt idx="9">
                  <c:v>50.1</c:v>
                </c:pt>
                <c:pt idx="10">
                  <c:v>50.93</c:v>
                </c:pt>
                <c:pt idx="11">
                  <c:v>51.96</c:v>
                </c:pt>
                <c:pt idx="12">
                  <c:v>52.98</c:v>
                </c:pt>
                <c:pt idx="13">
                  <c:v>53.93</c:v>
                </c:pt>
                <c:pt idx="14">
                  <c:v>54.81</c:v>
                </c:pt>
                <c:pt idx="15">
                  <c:v>55.53</c:v>
                </c:pt>
                <c:pt idx="16">
                  <c:v>56.18</c:v>
                </c:pt>
                <c:pt idx="17">
                  <c:v>56.79</c:v>
                </c:pt>
                <c:pt idx="18">
                  <c:v>57.4</c:v>
                </c:pt>
                <c:pt idx="19">
                  <c:v>57.86</c:v>
                </c:pt>
                <c:pt idx="20">
                  <c:v>57.97</c:v>
                </c:pt>
                <c:pt idx="21">
                  <c:v>57.76</c:v>
                </c:pt>
                <c:pt idx="22">
                  <c:v>57.92</c:v>
                </c:pt>
                <c:pt idx="23">
                  <c:v>58.18</c:v>
                </c:pt>
                <c:pt idx="24">
                  <c:v>58.39</c:v>
                </c:pt>
                <c:pt idx="25">
                  <c:v>58.54</c:v>
                </c:pt>
                <c:pt idx="26">
                  <c:v>58.64</c:v>
                </c:pt>
                <c:pt idx="27">
                  <c:v>58.74</c:v>
                </c:pt>
                <c:pt idx="28">
                  <c:v>58.83</c:v>
                </c:pt>
                <c:pt idx="29">
                  <c:v>58.93</c:v>
                </c:pt>
                <c:pt idx="30">
                  <c:v>59.03</c:v>
                </c:pt>
                <c:pt idx="31">
                  <c:v>59.14</c:v>
                </c:pt>
                <c:pt idx="32">
                  <c:v>59.27</c:v>
                </c:pt>
                <c:pt idx="33">
                  <c:v>59.4</c:v>
                </c:pt>
                <c:pt idx="34">
                  <c:v>59.55</c:v>
                </c:pt>
                <c:pt idx="35">
                  <c:v>59.71</c:v>
                </c:pt>
                <c:pt idx="36">
                  <c:v>59.9</c:v>
                </c:pt>
                <c:pt idx="37">
                  <c:v>60.12</c:v>
                </c:pt>
                <c:pt idx="38">
                  <c:v>60.35</c:v>
                </c:pt>
                <c:pt idx="39">
                  <c:v>60.59</c:v>
                </c:pt>
                <c:pt idx="40">
                  <c:v>60.85</c:v>
                </c:pt>
                <c:pt idx="41">
                  <c:v>61.12</c:v>
                </c:pt>
                <c:pt idx="42">
                  <c:v>61.4</c:v>
                </c:pt>
                <c:pt idx="43">
                  <c:v>61.7</c:v>
                </c:pt>
                <c:pt idx="44">
                  <c:v>62.01</c:v>
                </c:pt>
                <c:pt idx="45">
                  <c:v>62.33</c:v>
                </c:pt>
                <c:pt idx="46">
                  <c:v>62.66</c:v>
                </c:pt>
                <c:pt idx="47">
                  <c:v>63.01</c:v>
                </c:pt>
                <c:pt idx="48">
                  <c:v>63.36</c:v>
                </c:pt>
                <c:pt idx="49">
                  <c:v>63.71</c:v>
                </c:pt>
                <c:pt idx="50">
                  <c:v>64.069999999999993</c:v>
                </c:pt>
                <c:pt idx="51">
                  <c:v>64.44</c:v>
                </c:pt>
                <c:pt idx="52">
                  <c:v>64.8</c:v>
                </c:pt>
                <c:pt idx="53">
                  <c:v>65.16</c:v>
                </c:pt>
                <c:pt idx="54">
                  <c:v>65.52</c:v>
                </c:pt>
                <c:pt idx="55">
                  <c:v>65.88</c:v>
                </c:pt>
                <c:pt idx="56">
                  <c:v>66.23</c:v>
                </c:pt>
                <c:pt idx="57">
                  <c:v>66.569999999999993</c:v>
                </c:pt>
                <c:pt idx="58">
                  <c:v>66.900000000000006</c:v>
                </c:pt>
                <c:pt idx="59">
                  <c:v>67.22</c:v>
                </c:pt>
                <c:pt idx="60">
                  <c:v>67.53</c:v>
                </c:pt>
                <c:pt idx="61">
                  <c:v>67.819999999999993</c:v>
                </c:pt>
                <c:pt idx="62">
                  <c:v>68.09</c:v>
                </c:pt>
                <c:pt idx="63">
                  <c:v>68.349999999999994</c:v>
                </c:pt>
                <c:pt idx="64">
                  <c:v>68.599999999999994</c:v>
                </c:pt>
                <c:pt idx="65">
                  <c:v>68.83</c:v>
                </c:pt>
                <c:pt idx="66">
                  <c:v>69.05</c:v>
                </c:pt>
                <c:pt idx="67">
                  <c:v>69.25</c:v>
                </c:pt>
                <c:pt idx="68">
                  <c:v>69.44</c:v>
                </c:pt>
                <c:pt idx="69">
                  <c:v>69.61</c:v>
                </c:pt>
                <c:pt idx="70">
                  <c:v>69.77</c:v>
                </c:pt>
                <c:pt idx="71">
                  <c:v>69.92</c:v>
                </c:pt>
                <c:pt idx="72">
                  <c:v>70.05</c:v>
                </c:pt>
                <c:pt idx="73">
                  <c:v>70.17</c:v>
                </c:pt>
                <c:pt idx="74">
                  <c:v>70.27</c:v>
                </c:pt>
                <c:pt idx="75">
                  <c:v>70.349999999999994</c:v>
                </c:pt>
                <c:pt idx="76">
                  <c:v>70.42</c:v>
                </c:pt>
                <c:pt idx="77">
                  <c:v>70.459999999999994</c:v>
                </c:pt>
                <c:pt idx="78">
                  <c:v>70.5</c:v>
                </c:pt>
                <c:pt idx="79">
                  <c:v>70.510000000000005</c:v>
                </c:pt>
                <c:pt idx="80">
                  <c:v>70.52</c:v>
                </c:pt>
                <c:pt idx="81">
                  <c:v>70.5</c:v>
                </c:pt>
                <c:pt idx="82">
                  <c:v>70.48</c:v>
                </c:pt>
                <c:pt idx="83">
                  <c:v>70.44</c:v>
                </c:pt>
                <c:pt idx="84">
                  <c:v>70.400000000000006</c:v>
                </c:pt>
                <c:pt idx="85">
                  <c:v>70.34</c:v>
                </c:pt>
                <c:pt idx="86">
                  <c:v>70.27</c:v>
                </c:pt>
                <c:pt idx="87">
                  <c:v>70.180000000000007</c:v>
                </c:pt>
                <c:pt idx="88">
                  <c:v>70.09</c:v>
                </c:pt>
                <c:pt idx="89">
                  <c:v>69.989999999999995</c:v>
                </c:pt>
                <c:pt idx="90">
                  <c:v>69.88</c:v>
                </c:pt>
                <c:pt idx="91">
                  <c:v>69.760000000000005</c:v>
                </c:pt>
                <c:pt idx="92">
                  <c:v>69.63</c:v>
                </c:pt>
                <c:pt idx="93">
                  <c:v>69.5</c:v>
                </c:pt>
                <c:pt idx="94">
                  <c:v>69.36</c:v>
                </c:pt>
                <c:pt idx="95">
                  <c:v>69.209999999999994</c:v>
                </c:pt>
                <c:pt idx="96">
                  <c:v>69.06</c:v>
                </c:pt>
                <c:pt idx="97">
                  <c:v>68.91</c:v>
                </c:pt>
                <c:pt idx="98">
                  <c:v>68.760000000000005</c:v>
                </c:pt>
                <c:pt idx="99">
                  <c:v>68.62</c:v>
                </c:pt>
                <c:pt idx="100">
                  <c:v>68.48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F5-46C5-B877-81DAF2746984}"/>
            </c:ext>
          </c:extLst>
        </c:ser>
        <c:ser>
          <c:idx val="1"/>
          <c:order val="1"/>
          <c:tx>
            <c:strRef>
              <c:f>Forcasting!$C$1</c:f>
              <c:strCache>
                <c:ptCount val="1"/>
                <c:pt idx="0">
                  <c:v>Emissions after policies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Forcasting!$A$2:$A$102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Forcasting!$C$2:$C$102</c:f>
              <c:numCache>
                <c:formatCode>0.0</c:formatCode>
                <c:ptCount val="101"/>
                <c:pt idx="0">
                  <c:v>40.83</c:v>
                </c:pt>
                <c:pt idx="1">
                  <c:v>41.67</c:v>
                </c:pt>
                <c:pt idx="2">
                  <c:v>42.52</c:v>
                </c:pt>
                <c:pt idx="3">
                  <c:v>43.39</c:v>
                </c:pt>
                <c:pt idx="4">
                  <c:v>44.4</c:v>
                </c:pt>
                <c:pt idx="5">
                  <c:v>45.53</c:v>
                </c:pt>
                <c:pt idx="6">
                  <c:v>46.68</c:v>
                </c:pt>
                <c:pt idx="7">
                  <c:v>47.92</c:v>
                </c:pt>
                <c:pt idx="8">
                  <c:v>49.11</c:v>
                </c:pt>
                <c:pt idx="9">
                  <c:v>50.1</c:v>
                </c:pt>
                <c:pt idx="10">
                  <c:v>50.93</c:v>
                </c:pt>
                <c:pt idx="11">
                  <c:v>51.96</c:v>
                </c:pt>
                <c:pt idx="12">
                  <c:v>52.98</c:v>
                </c:pt>
                <c:pt idx="13">
                  <c:v>53.93</c:v>
                </c:pt>
                <c:pt idx="14">
                  <c:v>54.81</c:v>
                </c:pt>
                <c:pt idx="15">
                  <c:v>55.53</c:v>
                </c:pt>
                <c:pt idx="16">
                  <c:v>56.18</c:v>
                </c:pt>
                <c:pt idx="17">
                  <c:v>56.79</c:v>
                </c:pt>
                <c:pt idx="18">
                  <c:v>57.4</c:v>
                </c:pt>
                <c:pt idx="19">
                  <c:v>57.86</c:v>
                </c:pt>
                <c:pt idx="20">
                  <c:v>57.97</c:v>
                </c:pt>
                <c:pt idx="21">
                  <c:v>57.76</c:v>
                </c:pt>
                <c:pt idx="22">
                  <c:v>57.92</c:v>
                </c:pt>
                <c:pt idx="23">
                  <c:v>58.18</c:v>
                </c:pt>
                <c:pt idx="24">
                  <c:v>58.4</c:v>
                </c:pt>
                <c:pt idx="25">
                  <c:v>58.55</c:v>
                </c:pt>
                <c:pt idx="26">
                  <c:v>57.53</c:v>
                </c:pt>
                <c:pt idx="27">
                  <c:v>56.61</c:v>
                </c:pt>
                <c:pt idx="28">
                  <c:v>55.54</c:v>
                </c:pt>
                <c:pt idx="29">
                  <c:v>54.31</c:v>
                </c:pt>
                <c:pt idx="30">
                  <c:v>52.95</c:v>
                </c:pt>
                <c:pt idx="31">
                  <c:v>51.5</c:v>
                </c:pt>
                <c:pt idx="32">
                  <c:v>49.97</c:v>
                </c:pt>
                <c:pt idx="33">
                  <c:v>48.39</c:v>
                </c:pt>
                <c:pt idx="34">
                  <c:v>46.76</c:v>
                </c:pt>
                <c:pt idx="35">
                  <c:v>45.12</c:v>
                </c:pt>
                <c:pt idx="36">
                  <c:v>43.77</c:v>
                </c:pt>
                <c:pt idx="37">
                  <c:v>42.46</c:v>
                </c:pt>
                <c:pt idx="38">
                  <c:v>41.17</c:v>
                </c:pt>
                <c:pt idx="39">
                  <c:v>39.909999999999997</c:v>
                </c:pt>
                <c:pt idx="40">
                  <c:v>38.69</c:v>
                </c:pt>
                <c:pt idx="41">
                  <c:v>37.51</c:v>
                </c:pt>
                <c:pt idx="42">
                  <c:v>36.369999999999997</c:v>
                </c:pt>
                <c:pt idx="43">
                  <c:v>35.270000000000003</c:v>
                </c:pt>
                <c:pt idx="44">
                  <c:v>34.22</c:v>
                </c:pt>
                <c:pt idx="45">
                  <c:v>33.22</c:v>
                </c:pt>
                <c:pt idx="46">
                  <c:v>32.26</c:v>
                </c:pt>
                <c:pt idx="47">
                  <c:v>31.34</c:v>
                </c:pt>
                <c:pt idx="48">
                  <c:v>30.48</c:v>
                </c:pt>
                <c:pt idx="49">
                  <c:v>29.67</c:v>
                </c:pt>
                <c:pt idx="50">
                  <c:v>28.92</c:v>
                </c:pt>
                <c:pt idx="51">
                  <c:v>28.21</c:v>
                </c:pt>
                <c:pt idx="52">
                  <c:v>27.52</c:v>
                </c:pt>
                <c:pt idx="53">
                  <c:v>26.87</c:v>
                </c:pt>
                <c:pt idx="54">
                  <c:v>26.23</c:v>
                </c:pt>
                <c:pt idx="55">
                  <c:v>25.61</c:v>
                </c:pt>
                <c:pt idx="56">
                  <c:v>25.03</c:v>
                </c:pt>
                <c:pt idx="57">
                  <c:v>24.47</c:v>
                </c:pt>
                <c:pt idx="58">
                  <c:v>23.94</c:v>
                </c:pt>
                <c:pt idx="59">
                  <c:v>23.43</c:v>
                </c:pt>
                <c:pt idx="60">
                  <c:v>22.94</c:v>
                </c:pt>
                <c:pt idx="61">
                  <c:v>22.47</c:v>
                </c:pt>
                <c:pt idx="62">
                  <c:v>22.03</c:v>
                </c:pt>
                <c:pt idx="63">
                  <c:v>21.6</c:v>
                </c:pt>
                <c:pt idx="64">
                  <c:v>21.2</c:v>
                </c:pt>
                <c:pt idx="65">
                  <c:v>20.82</c:v>
                </c:pt>
                <c:pt idx="66">
                  <c:v>20.46</c:v>
                </c:pt>
                <c:pt idx="67">
                  <c:v>20.12</c:v>
                </c:pt>
                <c:pt idx="68">
                  <c:v>19.8</c:v>
                </c:pt>
                <c:pt idx="69">
                  <c:v>19.489999999999998</c:v>
                </c:pt>
                <c:pt idx="70">
                  <c:v>19.2</c:v>
                </c:pt>
                <c:pt idx="71">
                  <c:v>18.93</c:v>
                </c:pt>
                <c:pt idx="72">
                  <c:v>18.68</c:v>
                </c:pt>
                <c:pt idx="73">
                  <c:v>18.440000000000001</c:v>
                </c:pt>
                <c:pt idx="74">
                  <c:v>18.21</c:v>
                </c:pt>
                <c:pt idx="75">
                  <c:v>18.010000000000002</c:v>
                </c:pt>
                <c:pt idx="76">
                  <c:v>17.82</c:v>
                </c:pt>
                <c:pt idx="77">
                  <c:v>17.64</c:v>
                </c:pt>
                <c:pt idx="78">
                  <c:v>17.489999999999998</c:v>
                </c:pt>
                <c:pt idx="79">
                  <c:v>17.34</c:v>
                </c:pt>
                <c:pt idx="80">
                  <c:v>17.21</c:v>
                </c:pt>
                <c:pt idx="81">
                  <c:v>17.09</c:v>
                </c:pt>
                <c:pt idx="82">
                  <c:v>16.98</c:v>
                </c:pt>
                <c:pt idx="83">
                  <c:v>16.88</c:v>
                </c:pt>
                <c:pt idx="84">
                  <c:v>16.8</c:v>
                </c:pt>
                <c:pt idx="85">
                  <c:v>16.71</c:v>
                </c:pt>
                <c:pt idx="86">
                  <c:v>16.64</c:v>
                </c:pt>
                <c:pt idx="87">
                  <c:v>16.57</c:v>
                </c:pt>
                <c:pt idx="88">
                  <c:v>16.5</c:v>
                </c:pt>
                <c:pt idx="89">
                  <c:v>16.45</c:v>
                </c:pt>
                <c:pt idx="90">
                  <c:v>16.39</c:v>
                </c:pt>
                <c:pt idx="91">
                  <c:v>16.34</c:v>
                </c:pt>
                <c:pt idx="92">
                  <c:v>16.3</c:v>
                </c:pt>
                <c:pt idx="93">
                  <c:v>16.260000000000002</c:v>
                </c:pt>
                <c:pt idx="94">
                  <c:v>16.22</c:v>
                </c:pt>
                <c:pt idx="95">
                  <c:v>16.190000000000001</c:v>
                </c:pt>
                <c:pt idx="96">
                  <c:v>16.149999999999999</c:v>
                </c:pt>
                <c:pt idx="97">
                  <c:v>16.13</c:v>
                </c:pt>
                <c:pt idx="98">
                  <c:v>16.100000000000001</c:v>
                </c:pt>
                <c:pt idx="99">
                  <c:v>16.079999999999998</c:v>
                </c:pt>
                <c:pt idx="100">
                  <c:v>16.05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F5-46C5-B877-81DAF2746984}"/>
            </c:ext>
          </c:extLst>
        </c:ser>
        <c:ser>
          <c:idx val="2"/>
          <c:order val="2"/>
          <c:tx>
            <c:strRef>
              <c:f>Forcasting!$D$1</c:f>
              <c:strCache>
                <c:ptCount val="1"/>
                <c:pt idx="0">
                  <c:v>5-Year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Forcasting!$A$2:$A$102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Forcasting!$D$2:$D$102</c:f>
              <c:numCache>
                <c:formatCode>0.0</c:formatCode>
                <c:ptCount val="101"/>
                <c:pt idx="4">
                  <c:v>39.185866666666662</c:v>
                </c:pt>
                <c:pt idx="5">
                  <c:v>38.881599999999999</c:v>
                </c:pt>
                <c:pt idx="6">
                  <c:v>38.563600000000001</c:v>
                </c:pt>
                <c:pt idx="7">
                  <c:v>38.231866666666662</c:v>
                </c:pt>
                <c:pt idx="8">
                  <c:v>37.886533333333333</c:v>
                </c:pt>
                <c:pt idx="9">
                  <c:v>37.525733333333328</c:v>
                </c:pt>
                <c:pt idx="10">
                  <c:v>37.148133333333327</c:v>
                </c:pt>
                <c:pt idx="11">
                  <c:v>36.753599999999992</c:v>
                </c:pt>
                <c:pt idx="12">
                  <c:v>36.341066666666663</c:v>
                </c:pt>
                <c:pt idx="13">
                  <c:v>35.911333333333332</c:v>
                </c:pt>
                <c:pt idx="14">
                  <c:v>35.467333333333336</c:v>
                </c:pt>
                <c:pt idx="15">
                  <c:v>35.011066666666665</c:v>
                </c:pt>
                <c:pt idx="16">
                  <c:v>34.54013333333333</c:v>
                </c:pt>
                <c:pt idx="17">
                  <c:v>34.054666666666662</c:v>
                </c:pt>
                <c:pt idx="18">
                  <c:v>33.555599999999998</c:v>
                </c:pt>
                <c:pt idx="19">
                  <c:v>33.044133333333342</c:v>
                </c:pt>
                <c:pt idx="20">
                  <c:v>32.522266666666667</c:v>
                </c:pt>
                <c:pt idx="21">
                  <c:v>31.991066666666672</c:v>
                </c:pt>
                <c:pt idx="22">
                  <c:v>31.451200000000014</c:v>
                </c:pt>
                <c:pt idx="23">
                  <c:v>30.902666666666676</c:v>
                </c:pt>
                <c:pt idx="24">
                  <c:v>30.347466666666673</c:v>
                </c:pt>
                <c:pt idx="25">
                  <c:v>29.790400000000002</c:v>
                </c:pt>
                <c:pt idx="26">
                  <c:v>29.235600000000002</c:v>
                </c:pt>
                <c:pt idx="27">
                  <c:v>28.678400000000007</c:v>
                </c:pt>
                <c:pt idx="28">
                  <c:v>28.117333333333335</c:v>
                </c:pt>
                <c:pt idx="29">
                  <c:v>27.553066666666673</c:v>
                </c:pt>
                <c:pt idx="30">
                  <c:v>26.986400000000003</c:v>
                </c:pt>
                <c:pt idx="31">
                  <c:v>26.57364864864865</c:v>
                </c:pt>
                <c:pt idx="32">
                  <c:v>26.162191780821921</c:v>
                </c:pt>
                <c:pt idx="33">
                  <c:v>25.754166666666674</c:v>
                </c:pt>
                <c:pt idx="34">
                  <c:v>25.351971830985921</c:v>
                </c:pt>
                <c:pt idx="35">
                  <c:v>24.957714285714289</c:v>
                </c:pt>
                <c:pt idx="36">
                  <c:v>24.573043478260875</c:v>
                </c:pt>
                <c:pt idx="37">
                  <c:v>24.199558823529419</c:v>
                </c:pt>
                <c:pt idx="38">
                  <c:v>23.838507462686575</c:v>
                </c:pt>
                <c:pt idx="39">
                  <c:v>23.491212121212129</c:v>
                </c:pt>
                <c:pt idx="40">
                  <c:v>23.158461538461545</c:v>
                </c:pt>
                <c:pt idx="41">
                  <c:v>22.836406250000007</c:v>
                </c:pt>
                <c:pt idx="42">
                  <c:v>22.52492063492064</c:v>
                </c:pt>
                <c:pt idx="43">
                  <c:v>22.224193548387102</c:v>
                </c:pt>
                <c:pt idx="44">
                  <c:v>21.934262295081979</c:v>
                </c:pt>
                <c:pt idx="45">
                  <c:v>21.655000000000012</c:v>
                </c:pt>
                <c:pt idx="46">
                  <c:v>21.386271186440684</c:v>
                </c:pt>
                <c:pt idx="47">
                  <c:v>21.127931034482764</c:v>
                </c:pt>
                <c:pt idx="48">
                  <c:v>20.879824561403513</c:v>
                </c:pt>
                <c:pt idx="49">
                  <c:v>20.641607142857151</c:v>
                </c:pt>
                <c:pt idx="50">
                  <c:v>20.412909090909096</c:v>
                </c:pt>
                <c:pt idx="51">
                  <c:v>20.19351851851852</c:v>
                </c:pt>
                <c:pt idx="52">
                  <c:v>19.983207547169815</c:v>
                </c:pt>
                <c:pt idx="53">
                  <c:v>19.781346153846162</c:v>
                </c:pt>
                <c:pt idx="54">
                  <c:v>19.587450980392163</c:v>
                </c:pt>
                <c:pt idx="55">
                  <c:v>19.400800000000007</c:v>
                </c:pt>
                <c:pt idx="56">
                  <c:v>19.22102040816327</c:v>
                </c:pt>
                <c:pt idx="57">
                  <c:v>19.048125000000002</c:v>
                </c:pt>
                <c:pt idx="58">
                  <c:v>18.88170212765958</c:v>
                </c:pt>
                <c:pt idx="59">
                  <c:v>18.721956521739134</c:v>
                </c:pt>
                <c:pt idx="60">
                  <c:v>18.568888888888889</c:v>
                </c:pt>
                <c:pt idx="61">
                  <c:v>18.422045454545454</c:v>
                </c:pt>
                <c:pt idx="62">
                  <c:v>18.281395348837211</c:v>
                </c:pt>
                <c:pt idx="63">
                  <c:v>18.146666666666668</c:v>
                </c:pt>
                <c:pt idx="64">
                  <c:v>18.017804878048782</c:v>
                </c:pt>
                <c:pt idx="65">
                  <c:v>17.894749999999998</c:v>
                </c:pt>
                <c:pt idx="66">
                  <c:v>17.777435897435897</c:v>
                </c:pt>
                <c:pt idx="67">
                  <c:v>17.665526315789474</c:v>
                </c:pt>
                <c:pt idx="68">
                  <c:v>17.559189189189187</c:v>
                </c:pt>
                <c:pt idx="69">
                  <c:v>17.458055555555557</c:v>
                </c:pt>
                <c:pt idx="70">
                  <c:v>17.361999999999998</c:v>
                </c:pt>
                <c:pt idx="71">
                  <c:v>17.270882352941175</c:v>
                </c:pt>
                <c:pt idx="72">
                  <c:v>17.184545454545454</c:v>
                </c:pt>
                <c:pt idx="73">
                  <c:v>17.102812499999995</c:v>
                </c:pt>
                <c:pt idx="74">
                  <c:v>17.025806451612898</c:v>
                </c:pt>
                <c:pt idx="75">
                  <c:v>16.953333333333333</c:v>
                </c:pt>
                <c:pt idx="76">
                  <c:v>16.8851724137931</c:v>
                </c:pt>
                <c:pt idx="77">
                  <c:v>16.821071428571425</c:v>
                </c:pt>
                <c:pt idx="78">
                  <c:v>16.761111111111106</c:v>
                </c:pt>
                <c:pt idx="79">
                  <c:v>16.705384615384613</c:v>
                </c:pt>
                <c:pt idx="80">
                  <c:v>16.653199999999998</c:v>
                </c:pt>
                <c:pt idx="81">
                  <c:v>16.604583333333331</c:v>
                </c:pt>
                <c:pt idx="82">
                  <c:v>16.559565217391302</c:v>
                </c:pt>
                <c:pt idx="83">
                  <c:v>16.517272727272726</c:v>
                </c:pt>
                <c:pt idx="84">
                  <c:v>16.478095238095236</c:v>
                </c:pt>
                <c:pt idx="85">
                  <c:v>16.441499999999998</c:v>
                </c:pt>
                <c:pt idx="86">
                  <c:v>16.407368421052634</c:v>
                </c:pt>
                <c:pt idx="87">
                  <c:v>16.375555555555554</c:v>
                </c:pt>
                <c:pt idx="88">
                  <c:v>16.345882352941175</c:v>
                </c:pt>
                <c:pt idx="89">
                  <c:v>16.317499999999999</c:v>
                </c:pt>
                <c:pt idx="90">
                  <c:v>16.291333333333334</c:v>
                </c:pt>
                <c:pt idx="91">
                  <c:v>16.266428571428573</c:v>
                </c:pt>
                <c:pt idx="92">
                  <c:v>16.243076923076924</c:v>
                </c:pt>
                <c:pt idx="93">
                  <c:v>16.221666666666668</c:v>
                </c:pt>
                <c:pt idx="94">
                  <c:v>16.200909090909089</c:v>
                </c:pt>
                <c:pt idx="95">
                  <c:v>16.181999999999999</c:v>
                </c:pt>
                <c:pt idx="96">
                  <c:v>16.164444444444445</c:v>
                </c:pt>
                <c:pt idx="97">
                  <c:v>16.147499999999997</c:v>
                </c:pt>
                <c:pt idx="98">
                  <c:v>16.131428571428568</c:v>
                </c:pt>
                <c:pt idx="99">
                  <c:v>16.116666666666664</c:v>
                </c:pt>
                <c:pt idx="100">
                  <c:v>16.102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F5-46C5-B877-81DAF2746984}"/>
            </c:ext>
          </c:extLst>
        </c:ser>
        <c:ser>
          <c:idx val="3"/>
          <c:order val="3"/>
          <c:tx>
            <c:strRef>
              <c:f>Forcasting!$E$1</c:f>
              <c:strCache>
                <c:ptCount val="1"/>
                <c:pt idx="0">
                  <c:v>Exponential Smoothing (α = 0.3)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Forcasting!$A$2:$A$102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Forcasting!$E$2:$E$102</c:f>
              <c:numCache>
                <c:formatCode>0.0</c:formatCode>
                <c:ptCount val="101"/>
                <c:pt idx="0">
                  <c:v>40.83</c:v>
                </c:pt>
                <c:pt idx="1">
                  <c:v>41.081999999999994</c:v>
                </c:pt>
                <c:pt idx="2">
                  <c:v>41.51339999999999</c:v>
                </c:pt>
                <c:pt idx="3">
                  <c:v>42.076379999999986</c:v>
                </c:pt>
                <c:pt idx="4">
                  <c:v>42.773465999999985</c:v>
                </c:pt>
                <c:pt idx="5">
                  <c:v>43.600426199999987</c:v>
                </c:pt>
                <c:pt idx="6">
                  <c:v>44.524298339999987</c:v>
                </c:pt>
                <c:pt idx="7">
                  <c:v>45.543008837999992</c:v>
                </c:pt>
                <c:pt idx="8">
                  <c:v>46.613106186599992</c:v>
                </c:pt>
                <c:pt idx="9">
                  <c:v>47.659174330619997</c:v>
                </c:pt>
                <c:pt idx="10">
                  <c:v>48.640422031433999</c:v>
                </c:pt>
                <c:pt idx="11">
                  <c:v>49.636295422003798</c:v>
                </c:pt>
                <c:pt idx="12">
                  <c:v>50.639406795402657</c:v>
                </c:pt>
                <c:pt idx="13">
                  <c:v>51.626584756781853</c:v>
                </c:pt>
                <c:pt idx="14">
                  <c:v>52.581609329747295</c:v>
                </c:pt>
                <c:pt idx="15">
                  <c:v>53.466126530823104</c:v>
                </c:pt>
                <c:pt idx="16">
                  <c:v>54.280288571576172</c:v>
                </c:pt>
                <c:pt idx="17">
                  <c:v>55.033202000103316</c:v>
                </c:pt>
                <c:pt idx="18">
                  <c:v>55.743241400072314</c:v>
                </c:pt>
                <c:pt idx="19">
                  <c:v>56.37826898005062</c:v>
                </c:pt>
                <c:pt idx="20">
                  <c:v>56.855788286035427</c:v>
                </c:pt>
                <c:pt idx="21">
                  <c:v>57.127051800224791</c:v>
                </c:pt>
                <c:pt idx="22">
                  <c:v>57.36493626015735</c:v>
                </c:pt>
                <c:pt idx="23">
                  <c:v>57.609455382110141</c:v>
                </c:pt>
                <c:pt idx="24">
                  <c:v>57.846618767477096</c:v>
                </c:pt>
                <c:pt idx="25">
                  <c:v>58.057633137233964</c:v>
                </c:pt>
                <c:pt idx="26">
                  <c:v>57.899343196063775</c:v>
                </c:pt>
                <c:pt idx="27">
                  <c:v>57.512540237244636</c:v>
                </c:pt>
                <c:pt idx="28">
                  <c:v>56.920778166071244</c:v>
                </c:pt>
                <c:pt idx="29">
                  <c:v>56.13754471624987</c:v>
                </c:pt>
                <c:pt idx="30">
                  <c:v>55.181281301374902</c:v>
                </c:pt>
                <c:pt idx="31">
                  <c:v>54.076896910962432</c:v>
                </c:pt>
                <c:pt idx="32">
                  <c:v>52.844827837673698</c:v>
                </c:pt>
                <c:pt idx="33">
                  <c:v>51.508379486371581</c:v>
                </c:pt>
                <c:pt idx="34">
                  <c:v>50.083865640460104</c:v>
                </c:pt>
                <c:pt idx="35">
                  <c:v>48.594705948322073</c:v>
                </c:pt>
                <c:pt idx="36">
                  <c:v>47.14729416382545</c:v>
                </c:pt>
                <c:pt idx="37">
                  <c:v>45.74110591467781</c:v>
                </c:pt>
                <c:pt idx="38">
                  <c:v>44.369774140274465</c:v>
                </c:pt>
                <c:pt idx="39">
                  <c:v>43.031841898192127</c:v>
                </c:pt>
                <c:pt idx="40">
                  <c:v>41.729289328734481</c:v>
                </c:pt>
                <c:pt idx="41">
                  <c:v>40.463502530114134</c:v>
                </c:pt>
                <c:pt idx="42">
                  <c:v>39.235451771079894</c:v>
                </c:pt>
                <c:pt idx="43">
                  <c:v>38.045816239755929</c:v>
                </c:pt>
                <c:pt idx="44">
                  <c:v>36.898071367829147</c:v>
                </c:pt>
                <c:pt idx="45">
                  <c:v>35.794649957480402</c:v>
                </c:pt>
                <c:pt idx="46">
                  <c:v>34.734254970236279</c:v>
                </c:pt>
                <c:pt idx="47">
                  <c:v>33.715978479165393</c:v>
                </c:pt>
                <c:pt idx="48">
                  <c:v>32.745184935415772</c:v>
                </c:pt>
                <c:pt idx="49">
                  <c:v>31.822629454791038</c:v>
                </c:pt>
                <c:pt idx="50">
                  <c:v>30.951840618353728</c:v>
                </c:pt>
                <c:pt idx="51">
                  <c:v>30.129288432847609</c:v>
                </c:pt>
                <c:pt idx="52">
                  <c:v>29.346501902993325</c:v>
                </c:pt>
                <c:pt idx="53">
                  <c:v>28.603551332095325</c:v>
                </c:pt>
                <c:pt idx="54">
                  <c:v>27.891485932466725</c:v>
                </c:pt>
                <c:pt idx="55">
                  <c:v>27.207040152726705</c:v>
                </c:pt>
                <c:pt idx="56">
                  <c:v>26.553928106908693</c:v>
                </c:pt>
                <c:pt idx="57">
                  <c:v>25.928749674836084</c:v>
                </c:pt>
                <c:pt idx="58">
                  <c:v>25.332124772385257</c:v>
                </c:pt>
                <c:pt idx="59">
                  <c:v>24.761487340669678</c:v>
                </c:pt>
                <c:pt idx="60">
                  <c:v>24.215041138468774</c:v>
                </c:pt>
                <c:pt idx="61">
                  <c:v>23.691528796928139</c:v>
                </c:pt>
                <c:pt idx="62">
                  <c:v>23.193070157849696</c:v>
                </c:pt>
                <c:pt idx="63">
                  <c:v>22.715149110494789</c:v>
                </c:pt>
                <c:pt idx="64">
                  <c:v>22.26060437734635</c:v>
                </c:pt>
                <c:pt idx="65">
                  <c:v>21.828423064142445</c:v>
                </c:pt>
                <c:pt idx="66">
                  <c:v>21.417896144899711</c:v>
                </c:pt>
                <c:pt idx="67">
                  <c:v>21.028527301429797</c:v>
                </c:pt>
                <c:pt idx="68">
                  <c:v>20.659969111000859</c:v>
                </c:pt>
                <c:pt idx="69">
                  <c:v>20.308978377700598</c:v>
                </c:pt>
                <c:pt idx="70">
                  <c:v>19.976284864390415</c:v>
                </c:pt>
                <c:pt idx="71">
                  <c:v>19.662399405073288</c:v>
                </c:pt>
                <c:pt idx="72">
                  <c:v>19.3676795835513</c:v>
                </c:pt>
                <c:pt idx="73">
                  <c:v>19.08937570848591</c:v>
                </c:pt>
                <c:pt idx="74">
                  <c:v>18.825562995940135</c:v>
                </c:pt>
                <c:pt idx="75">
                  <c:v>18.580894097158094</c:v>
                </c:pt>
                <c:pt idx="76">
                  <c:v>18.352625868010666</c:v>
                </c:pt>
                <c:pt idx="77">
                  <c:v>18.138838107607466</c:v>
                </c:pt>
                <c:pt idx="78">
                  <c:v>17.944186675325223</c:v>
                </c:pt>
                <c:pt idx="79">
                  <c:v>17.762930672727656</c:v>
                </c:pt>
                <c:pt idx="80">
                  <c:v>17.597051470909356</c:v>
                </c:pt>
                <c:pt idx="81">
                  <c:v>17.444936029636548</c:v>
                </c:pt>
                <c:pt idx="82">
                  <c:v>17.305455220745582</c:v>
                </c:pt>
                <c:pt idx="83">
                  <c:v>17.177818654521907</c:v>
                </c:pt>
                <c:pt idx="84">
                  <c:v>17.064473058165333</c:v>
                </c:pt>
                <c:pt idx="85">
                  <c:v>16.958131140715732</c:v>
                </c:pt>
                <c:pt idx="86">
                  <c:v>16.862691798501011</c:v>
                </c:pt>
                <c:pt idx="87">
                  <c:v>16.774884258950706</c:v>
                </c:pt>
                <c:pt idx="88">
                  <c:v>16.692418981265494</c:v>
                </c:pt>
                <c:pt idx="89">
                  <c:v>16.619693286885845</c:v>
                </c:pt>
                <c:pt idx="90">
                  <c:v>16.550785300820088</c:v>
                </c:pt>
                <c:pt idx="91">
                  <c:v>16.487549710574061</c:v>
                </c:pt>
                <c:pt idx="92">
                  <c:v>16.43128479740184</c:v>
                </c:pt>
                <c:pt idx="93">
                  <c:v>16.379899358181287</c:v>
                </c:pt>
                <c:pt idx="94">
                  <c:v>16.331929550726898</c:v>
                </c:pt>
                <c:pt idx="95">
                  <c:v>16.289350685508829</c:v>
                </c:pt>
                <c:pt idx="96">
                  <c:v>16.247545479856178</c:v>
                </c:pt>
                <c:pt idx="97">
                  <c:v>16.212281835899322</c:v>
                </c:pt>
                <c:pt idx="98">
                  <c:v>16.178597285129527</c:v>
                </c:pt>
                <c:pt idx="99">
                  <c:v>16.149018099590666</c:v>
                </c:pt>
                <c:pt idx="100">
                  <c:v>16.119312669713466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F5-46C5-B877-81DAF2746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650296"/>
        <c:axId val="791653896"/>
      </c:lineChart>
      <c:catAx>
        <c:axId val="79165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53896"/>
        <c:crosses val="autoZero"/>
        <c:auto val="1"/>
        <c:lblAlgn val="ctr"/>
        <c:lblOffset val="100"/>
        <c:noMultiLvlLbl val="0"/>
      </c:catAx>
      <c:valAx>
        <c:axId val="79165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50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238124</xdr:colOff>
      <xdr:row>11</xdr:row>
      <xdr:rowOff>80962</xdr:rowOff>
    </xdr:from>
    <xdr:to>
      <xdr:col>16</xdr:col>
      <xdr:colOff>190499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D0F4B-0C1E-A2F1-3BFA-B0D0E40C5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4</xdr:row>
      <xdr:rowOff>123825</xdr:rowOff>
    </xdr:from>
    <xdr:to>
      <xdr:col>21</xdr:col>
      <xdr:colOff>65621</xdr:colOff>
      <xdr:row>32</xdr:row>
      <xdr:rowOff>142206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BE52E-93BD-AE76-F217-369A8A835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0" y="885825"/>
          <a:ext cx="8428571" cy="5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zoomScale="85" zoomScaleNormal="85" workbookViewId="0">
      <selection activeCell="E22" sqref="E22"/>
    </sheetView>
  </sheetViews>
  <sheetFormatPr defaultRowHeight="15" x14ac:dyDescent="0.25"/>
  <cols>
    <col min="2" max="2" width="9.140625" style="1"/>
    <col min="3" max="3" width="23" style="1" bestFit="1" customWidth="1"/>
    <col min="4" max="4" width="12.5703125" style="1"/>
    <col min="5" max="5" width="32.85546875" style="1" bestFit="1" customWidth="1"/>
  </cols>
  <sheetData>
    <row r="1" spans="1:5" ht="15.75" x14ac:dyDescent="0.3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</row>
    <row r="2" spans="1:5" x14ac:dyDescent="0.25">
      <c r="A2">
        <v>2000</v>
      </c>
      <c r="B2" s="1">
        <v>40.83</v>
      </c>
      <c r="C2" s="1">
        <v>40.83</v>
      </c>
      <c r="E2" s="1">
        <f>C2</f>
        <v>40.83</v>
      </c>
    </row>
    <row r="3" spans="1:5" x14ac:dyDescent="0.25">
      <c r="A3">
        <v>2001</v>
      </c>
      <c r="B3" s="1">
        <v>41.67</v>
      </c>
      <c r="C3" s="1">
        <v>41.67</v>
      </c>
      <c r="E3" s="1">
        <f>0.3*C3+ 0.7*E2</f>
        <v>41.081999999999994</v>
      </c>
    </row>
    <row r="4" spans="1:5" x14ac:dyDescent="0.25">
      <c r="A4">
        <v>2002</v>
      </c>
      <c r="B4" s="1">
        <v>42.52</v>
      </c>
      <c r="C4" s="1">
        <v>42.52</v>
      </c>
      <c r="E4" s="1">
        <f t="shared" ref="E4:E67" si="0">0.3*C4+ 0.7*E3</f>
        <v>41.51339999999999</v>
      </c>
    </row>
    <row r="5" spans="1:5" x14ac:dyDescent="0.25">
      <c r="A5">
        <v>2003</v>
      </c>
      <c r="B5" s="1">
        <v>43.39</v>
      </c>
      <c r="C5" s="1">
        <v>43.39</v>
      </c>
      <c r="E5" s="1">
        <f t="shared" si="0"/>
        <v>42.076379999999986</v>
      </c>
    </row>
    <row r="6" spans="1:5" x14ac:dyDescent="0.25">
      <c r="A6">
        <v>2004</v>
      </c>
      <c r="B6" s="1">
        <v>44.4</v>
      </c>
      <c r="C6" s="1">
        <v>44.4</v>
      </c>
      <c r="D6" s="1">
        <f>AVERAGE(C2:C76)</f>
        <v>39.185866666666662</v>
      </c>
      <c r="E6" s="1">
        <f t="shared" si="0"/>
        <v>42.773465999999985</v>
      </c>
    </row>
    <row r="7" spans="1:5" x14ac:dyDescent="0.25">
      <c r="A7">
        <v>2005</v>
      </c>
      <c r="B7" s="1">
        <v>45.53</v>
      </c>
      <c r="C7" s="1">
        <v>45.53</v>
      </c>
      <c r="D7" s="1">
        <f t="shared" ref="D7:D70" si="1">AVERAGE(C3:C77)</f>
        <v>38.881599999999999</v>
      </c>
      <c r="E7" s="1">
        <f t="shared" si="0"/>
        <v>43.600426199999987</v>
      </c>
    </row>
    <row r="8" spans="1:5" x14ac:dyDescent="0.25">
      <c r="A8">
        <v>2006</v>
      </c>
      <c r="B8" s="1">
        <v>46.68</v>
      </c>
      <c r="C8" s="1">
        <v>46.68</v>
      </c>
      <c r="D8" s="1">
        <f t="shared" si="1"/>
        <v>38.563600000000001</v>
      </c>
      <c r="E8" s="1">
        <f t="shared" si="0"/>
        <v>44.524298339999987</v>
      </c>
    </row>
    <row r="9" spans="1:5" x14ac:dyDescent="0.25">
      <c r="A9">
        <v>2007</v>
      </c>
      <c r="B9" s="1">
        <v>47.92</v>
      </c>
      <c r="C9" s="1">
        <v>47.92</v>
      </c>
      <c r="D9" s="1">
        <f t="shared" si="1"/>
        <v>38.231866666666662</v>
      </c>
      <c r="E9" s="1">
        <f t="shared" si="0"/>
        <v>45.543008837999992</v>
      </c>
    </row>
    <row r="10" spans="1:5" x14ac:dyDescent="0.25">
      <c r="A10">
        <v>2008</v>
      </c>
      <c r="B10" s="1">
        <v>49.11</v>
      </c>
      <c r="C10" s="1">
        <v>49.11</v>
      </c>
      <c r="D10" s="1">
        <f t="shared" si="1"/>
        <v>37.886533333333333</v>
      </c>
      <c r="E10" s="1">
        <f t="shared" si="0"/>
        <v>46.613106186599992</v>
      </c>
    </row>
    <row r="11" spans="1:5" x14ac:dyDescent="0.25">
      <c r="A11">
        <v>2009</v>
      </c>
      <c r="B11" s="1">
        <v>50.1</v>
      </c>
      <c r="C11" s="1">
        <v>50.1</v>
      </c>
      <c r="D11" s="1">
        <f t="shared" si="1"/>
        <v>37.525733333333328</v>
      </c>
      <c r="E11" s="1">
        <f t="shared" si="0"/>
        <v>47.659174330619997</v>
      </c>
    </row>
    <row r="12" spans="1:5" x14ac:dyDescent="0.25">
      <c r="A12">
        <v>2010</v>
      </c>
      <c r="B12" s="1">
        <v>50.93</v>
      </c>
      <c r="C12" s="1">
        <v>50.93</v>
      </c>
      <c r="D12" s="1">
        <f t="shared" si="1"/>
        <v>37.148133333333327</v>
      </c>
      <c r="E12" s="1">
        <f t="shared" si="0"/>
        <v>48.640422031433999</v>
      </c>
    </row>
    <row r="13" spans="1:5" x14ac:dyDescent="0.25">
      <c r="A13">
        <v>2011</v>
      </c>
      <c r="B13" s="1">
        <v>51.96</v>
      </c>
      <c r="C13" s="1">
        <v>51.96</v>
      </c>
      <c r="D13" s="1">
        <f t="shared" si="1"/>
        <v>36.753599999999992</v>
      </c>
      <c r="E13" s="1">
        <f t="shared" si="0"/>
        <v>49.636295422003798</v>
      </c>
    </row>
    <row r="14" spans="1:5" x14ac:dyDescent="0.25">
      <c r="A14">
        <v>2012</v>
      </c>
      <c r="B14" s="1">
        <v>52.98</v>
      </c>
      <c r="C14" s="1">
        <v>52.98</v>
      </c>
      <c r="D14" s="1">
        <f t="shared" si="1"/>
        <v>36.341066666666663</v>
      </c>
      <c r="E14" s="1">
        <f t="shared" si="0"/>
        <v>50.639406795402657</v>
      </c>
    </row>
    <row r="15" spans="1:5" x14ac:dyDescent="0.25">
      <c r="A15">
        <v>2013</v>
      </c>
      <c r="B15" s="1">
        <v>53.93</v>
      </c>
      <c r="C15" s="1">
        <v>53.93</v>
      </c>
      <c r="D15" s="1">
        <f t="shared" si="1"/>
        <v>35.911333333333332</v>
      </c>
      <c r="E15" s="1">
        <f t="shared" si="0"/>
        <v>51.626584756781853</v>
      </c>
    </row>
    <row r="16" spans="1:5" x14ac:dyDescent="0.25">
      <c r="A16">
        <v>2014</v>
      </c>
      <c r="B16" s="1">
        <v>54.81</v>
      </c>
      <c r="C16" s="1">
        <v>54.81</v>
      </c>
      <c r="D16" s="1">
        <f t="shared" si="1"/>
        <v>35.467333333333336</v>
      </c>
      <c r="E16" s="1">
        <f t="shared" si="0"/>
        <v>52.581609329747295</v>
      </c>
    </row>
    <row r="17" spans="1:5" x14ac:dyDescent="0.25">
      <c r="A17">
        <v>2015</v>
      </c>
      <c r="B17" s="1">
        <v>55.53</v>
      </c>
      <c r="C17" s="1">
        <v>55.53</v>
      </c>
      <c r="D17" s="1">
        <f t="shared" si="1"/>
        <v>35.011066666666665</v>
      </c>
      <c r="E17" s="1">
        <f t="shared" si="0"/>
        <v>53.466126530823104</v>
      </c>
    </row>
    <row r="18" spans="1:5" x14ac:dyDescent="0.25">
      <c r="A18">
        <v>2016</v>
      </c>
      <c r="B18" s="1">
        <v>56.18</v>
      </c>
      <c r="C18" s="1">
        <v>56.18</v>
      </c>
      <c r="D18" s="1">
        <f t="shared" si="1"/>
        <v>34.54013333333333</v>
      </c>
      <c r="E18" s="1">
        <f t="shared" si="0"/>
        <v>54.280288571576172</v>
      </c>
    </row>
    <row r="19" spans="1:5" x14ac:dyDescent="0.25">
      <c r="A19">
        <v>2017</v>
      </c>
      <c r="B19" s="1">
        <v>56.79</v>
      </c>
      <c r="C19" s="1">
        <v>56.79</v>
      </c>
      <c r="D19" s="1">
        <f t="shared" si="1"/>
        <v>34.054666666666662</v>
      </c>
      <c r="E19" s="1">
        <f t="shared" si="0"/>
        <v>55.033202000103316</v>
      </c>
    </row>
    <row r="20" spans="1:5" x14ac:dyDescent="0.25">
      <c r="A20">
        <v>2018</v>
      </c>
      <c r="B20" s="1">
        <v>57.4</v>
      </c>
      <c r="C20" s="1">
        <v>57.4</v>
      </c>
      <c r="D20" s="1">
        <f t="shared" si="1"/>
        <v>33.555599999999998</v>
      </c>
      <c r="E20" s="1">
        <f t="shared" si="0"/>
        <v>55.743241400072314</v>
      </c>
    </row>
    <row r="21" spans="1:5" x14ac:dyDescent="0.25">
      <c r="A21">
        <v>2019</v>
      </c>
      <c r="B21" s="1">
        <v>57.86</v>
      </c>
      <c r="C21" s="1">
        <v>57.86</v>
      </c>
      <c r="D21" s="1">
        <f t="shared" si="1"/>
        <v>33.044133333333342</v>
      </c>
      <c r="E21" s="1">
        <f t="shared" si="0"/>
        <v>56.37826898005062</v>
      </c>
    </row>
    <row r="22" spans="1:5" x14ac:dyDescent="0.25">
      <c r="A22">
        <v>2020</v>
      </c>
      <c r="B22" s="1">
        <v>57.97</v>
      </c>
      <c r="C22" s="1">
        <v>57.97</v>
      </c>
      <c r="D22" s="1">
        <f t="shared" si="1"/>
        <v>32.522266666666667</v>
      </c>
      <c r="E22" s="1">
        <f t="shared" si="0"/>
        <v>56.855788286035427</v>
      </c>
    </row>
    <row r="23" spans="1:5" x14ac:dyDescent="0.25">
      <c r="A23">
        <v>2021</v>
      </c>
      <c r="B23" s="1">
        <v>57.76</v>
      </c>
      <c r="C23" s="1">
        <v>57.76</v>
      </c>
      <c r="D23" s="1">
        <f t="shared" si="1"/>
        <v>31.991066666666672</v>
      </c>
      <c r="E23" s="1">
        <f t="shared" si="0"/>
        <v>57.127051800224791</v>
      </c>
    </row>
    <row r="24" spans="1:5" x14ac:dyDescent="0.25">
      <c r="A24">
        <v>2022</v>
      </c>
      <c r="B24" s="1">
        <v>57.92</v>
      </c>
      <c r="C24" s="1">
        <v>57.92</v>
      </c>
      <c r="D24" s="1">
        <f t="shared" si="1"/>
        <v>31.451200000000014</v>
      </c>
      <c r="E24" s="1">
        <f t="shared" si="0"/>
        <v>57.36493626015735</v>
      </c>
    </row>
    <row r="25" spans="1:5" x14ac:dyDescent="0.25">
      <c r="A25">
        <v>2023</v>
      </c>
      <c r="B25" s="1">
        <v>58.18</v>
      </c>
      <c r="C25" s="1">
        <v>58.18</v>
      </c>
      <c r="D25" s="1">
        <f t="shared" si="1"/>
        <v>30.902666666666676</v>
      </c>
      <c r="E25" s="1">
        <f t="shared" si="0"/>
        <v>57.609455382110141</v>
      </c>
    </row>
    <row r="26" spans="1:5" x14ac:dyDescent="0.25">
      <c r="A26">
        <v>2024</v>
      </c>
      <c r="B26" s="1">
        <v>58.39</v>
      </c>
      <c r="C26" s="1">
        <v>58.4</v>
      </c>
      <c r="D26" s="1">
        <f t="shared" si="1"/>
        <v>30.347466666666673</v>
      </c>
      <c r="E26" s="1">
        <f t="shared" si="0"/>
        <v>57.846618767477096</v>
      </c>
    </row>
    <row r="27" spans="1:5" x14ac:dyDescent="0.25">
      <c r="A27">
        <v>2025</v>
      </c>
      <c r="B27" s="1">
        <v>58.54</v>
      </c>
      <c r="C27" s="1">
        <v>58.55</v>
      </c>
      <c r="D27" s="1">
        <f t="shared" si="1"/>
        <v>29.790400000000002</v>
      </c>
      <c r="E27" s="1">
        <f t="shared" si="0"/>
        <v>58.057633137233964</v>
      </c>
    </row>
    <row r="28" spans="1:5" x14ac:dyDescent="0.25">
      <c r="A28">
        <v>2026</v>
      </c>
      <c r="B28" s="1">
        <v>58.64</v>
      </c>
      <c r="C28" s="1">
        <v>57.53</v>
      </c>
      <c r="D28" s="1">
        <f t="shared" si="1"/>
        <v>29.235600000000002</v>
      </c>
      <c r="E28" s="1">
        <f t="shared" si="0"/>
        <v>57.899343196063775</v>
      </c>
    </row>
    <row r="29" spans="1:5" x14ac:dyDescent="0.25">
      <c r="A29">
        <v>2027</v>
      </c>
      <c r="B29" s="1">
        <v>58.74</v>
      </c>
      <c r="C29" s="1">
        <v>56.61</v>
      </c>
      <c r="D29" s="1">
        <f t="shared" si="1"/>
        <v>28.678400000000007</v>
      </c>
      <c r="E29" s="1">
        <f t="shared" si="0"/>
        <v>57.512540237244636</v>
      </c>
    </row>
    <row r="30" spans="1:5" x14ac:dyDescent="0.25">
      <c r="A30">
        <v>2028</v>
      </c>
      <c r="B30" s="1">
        <v>58.83</v>
      </c>
      <c r="C30" s="1">
        <v>55.54</v>
      </c>
      <c r="D30" s="1">
        <f t="shared" si="1"/>
        <v>28.117333333333335</v>
      </c>
      <c r="E30" s="1">
        <f t="shared" si="0"/>
        <v>56.920778166071244</v>
      </c>
    </row>
    <row r="31" spans="1:5" x14ac:dyDescent="0.25">
      <c r="A31">
        <v>2029</v>
      </c>
      <c r="B31" s="1">
        <v>58.93</v>
      </c>
      <c r="C31" s="1">
        <v>54.31</v>
      </c>
      <c r="D31" s="1">
        <f t="shared" si="1"/>
        <v>27.553066666666673</v>
      </c>
      <c r="E31" s="1">
        <f t="shared" si="0"/>
        <v>56.13754471624987</v>
      </c>
    </row>
    <row r="32" spans="1:5" x14ac:dyDescent="0.25">
      <c r="A32">
        <v>2030</v>
      </c>
      <c r="B32" s="1">
        <v>59.03</v>
      </c>
      <c r="C32" s="1">
        <v>52.95</v>
      </c>
      <c r="D32" s="1">
        <f t="shared" si="1"/>
        <v>26.986400000000003</v>
      </c>
      <c r="E32" s="1">
        <f t="shared" si="0"/>
        <v>55.181281301374902</v>
      </c>
    </row>
    <row r="33" spans="1:5" x14ac:dyDescent="0.25">
      <c r="A33">
        <v>2031</v>
      </c>
      <c r="B33" s="1">
        <v>59.14</v>
      </c>
      <c r="C33" s="1">
        <v>51.5</v>
      </c>
      <c r="D33" s="1">
        <f t="shared" si="1"/>
        <v>26.57364864864865</v>
      </c>
      <c r="E33" s="1">
        <f t="shared" si="0"/>
        <v>54.076896910962432</v>
      </c>
    </row>
    <row r="34" spans="1:5" x14ac:dyDescent="0.25">
      <c r="A34">
        <v>2032</v>
      </c>
      <c r="B34" s="1">
        <v>59.27</v>
      </c>
      <c r="C34" s="1">
        <v>49.97</v>
      </c>
      <c r="D34" s="1">
        <f t="shared" si="1"/>
        <v>26.162191780821921</v>
      </c>
      <c r="E34" s="1">
        <f t="shared" si="0"/>
        <v>52.844827837673698</v>
      </c>
    </row>
    <row r="35" spans="1:5" x14ac:dyDescent="0.25">
      <c r="A35">
        <v>2033</v>
      </c>
      <c r="B35" s="1">
        <v>59.4</v>
      </c>
      <c r="C35" s="1">
        <v>48.39</v>
      </c>
      <c r="D35" s="1">
        <f t="shared" si="1"/>
        <v>25.754166666666674</v>
      </c>
      <c r="E35" s="1">
        <f t="shared" si="0"/>
        <v>51.508379486371581</v>
      </c>
    </row>
    <row r="36" spans="1:5" x14ac:dyDescent="0.25">
      <c r="A36">
        <v>2034</v>
      </c>
      <c r="B36" s="1">
        <v>59.55</v>
      </c>
      <c r="C36" s="1">
        <v>46.76</v>
      </c>
      <c r="D36" s="1">
        <f t="shared" si="1"/>
        <v>25.351971830985921</v>
      </c>
      <c r="E36" s="1">
        <f t="shared" si="0"/>
        <v>50.083865640460104</v>
      </c>
    </row>
    <row r="37" spans="1:5" x14ac:dyDescent="0.25">
      <c r="A37">
        <v>2035</v>
      </c>
      <c r="B37" s="1">
        <v>59.71</v>
      </c>
      <c r="C37" s="1">
        <v>45.12</v>
      </c>
      <c r="D37" s="1">
        <f t="shared" si="1"/>
        <v>24.957714285714289</v>
      </c>
      <c r="E37" s="1">
        <f t="shared" si="0"/>
        <v>48.594705948322073</v>
      </c>
    </row>
    <row r="38" spans="1:5" x14ac:dyDescent="0.25">
      <c r="A38">
        <v>2036</v>
      </c>
      <c r="B38" s="1">
        <v>59.9</v>
      </c>
      <c r="C38" s="1">
        <v>43.77</v>
      </c>
      <c r="D38" s="1">
        <f t="shared" si="1"/>
        <v>24.573043478260875</v>
      </c>
      <c r="E38" s="1">
        <f t="shared" si="0"/>
        <v>47.14729416382545</v>
      </c>
    </row>
    <row r="39" spans="1:5" x14ac:dyDescent="0.25">
      <c r="A39">
        <v>2037</v>
      </c>
      <c r="B39" s="1">
        <v>60.12</v>
      </c>
      <c r="C39" s="1">
        <v>42.46</v>
      </c>
      <c r="D39" s="1">
        <f t="shared" si="1"/>
        <v>24.199558823529419</v>
      </c>
      <c r="E39" s="1">
        <f t="shared" si="0"/>
        <v>45.74110591467781</v>
      </c>
    </row>
    <row r="40" spans="1:5" x14ac:dyDescent="0.25">
      <c r="A40">
        <v>2038</v>
      </c>
      <c r="B40" s="1">
        <v>60.35</v>
      </c>
      <c r="C40" s="1">
        <v>41.17</v>
      </c>
      <c r="D40" s="1">
        <f t="shared" si="1"/>
        <v>23.838507462686575</v>
      </c>
      <c r="E40" s="1">
        <f t="shared" si="0"/>
        <v>44.369774140274465</v>
      </c>
    </row>
    <row r="41" spans="1:5" x14ac:dyDescent="0.25">
      <c r="A41">
        <v>2039</v>
      </c>
      <c r="B41" s="1">
        <v>60.59</v>
      </c>
      <c r="C41" s="1">
        <v>39.909999999999997</v>
      </c>
      <c r="D41" s="1">
        <f t="shared" si="1"/>
        <v>23.491212121212129</v>
      </c>
      <c r="E41" s="1">
        <f t="shared" si="0"/>
        <v>43.031841898192127</v>
      </c>
    </row>
    <row r="42" spans="1:5" x14ac:dyDescent="0.25">
      <c r="A42">
        <v>2040</v>
      </c>
      <c r="B42" s="1">
        <v>60.85</v>
      </c>
      <c r="C42" s="1">
        <v>38.69</v>
      </c>
      <c r="D42" s="1">
        <f t="shared" si="1"/>
        <v>23.158461538461545</v>
      </c>
      <c r="E42" s="1">
        <f t="shared" si="0"/>
        <v>41.729289328734481</v>
      </c>
    </row>
    <row r="43" spans="1:5" x14ac:dyDescent="0.25">
      <c r="A43">
        <v>2041</v>
      </c>
      <c r="B43" s="1">
        <v>61.12</v>
      </c>
      <c r="C43" s="1">
        <v>37.51</v>
      </c>
      <c r="D43" s="1">
        <f t="shared" si="1"/>
        <v>22.836406250000007</v>
      </c>
      <c r="E43" s="1">
        <f t="shared" si="0"/>
        <v>40.463502530114134</v>
      </c>
    </row>
    <row r="44" spans="1:5" x14ac:dyDescent="0.25">
      <c r="A44">
        <v>2042</v>
      </c>
      <c r="B44" s="1">
        <v>61.4</v>
      </c>
      <c r="C44" s="1">
        <v>36.369999999999997</v>
      </c>
      <c r="D44" s="1">
        <f t="shared" si="1"/>
        <v>22.52492063492064</v>
      </c>
      <c r="E44" s="1">
        <f t="shared" si="0"/>
        <v>39.235451771079894</v>
      </c>
    </row>
    <row r="45" spans="1:5" x14ac:dyDescent="0.25">
      <c r="A45">
        <v>2043</v>
      </c>
      <c r="B45" s="1">
        <v>61.7</v>
      </c>
      <c r="C45" s="1">
        <v>35.270000000000003</v>
      </c>
      <c r="D45" s="1">
        <f t="shared" si="1"/>
        <v>22.224193548387102</v>
      </c>
      <c r="E45" s="1">
        <f t="shared" si="0"/>
        <v>38.045816239755929</v>
      </c>
    </row>
    <row r="46" spans="1:5" x14ac:dyDescent="0.25">
      <c r="A46">
        <v>2044</v>
      </c>
      <c r="B46" s="1">
        <v>62.01</v>
      </c>
      <c r="C46" s="1">
        <v>34.22</v>
      </c>
      <c r="D46" s="1">
        <f t="shared" si="1"/>
        <v>21.934262295081979</v>
      </c>
      <c r="E46" s="1">
        <f t="shared" si="0"/>
        <v>36.898071367829147</v>
      </c>
    </row>
    <row r="47" spans="1:5" x14ac:dyDescent="0.25">
      <c r="A47">
        <v>2045</v>
      </c>
      <c r="B47" s="1">
        <v>62.33</v>
      </c>
      <c r="C47" s="1">
        <v>33.22</v>
      </c>
      <c r="D47" s="1">
        <f t="shared" si="1"/>
        <v>21.655000000000012</v>
      </c>
      <c r="E47" s="1">
        <f t="shared" si="0"/>
        <v>35.794649957480402</v>
      </c>
    </row>
    <row r="48" spans="1:5" x14ac:dyDescent="0.25">
      <c r="A48">
        <v>2046</v>
      </c>
      <c r="B48" s="1">
        <v>62.66</v>
      </c>
      <c r="C48" s="1">
        <v>32.26</v>
      </c>
      <c r="D48" s="1">
        <f t="shared" si="1"/>
        <v>21.386271186440684</v>
      </c>
      <c r="E48" s="1">
        <f t="shared" si="0"/>
        <v>34.734254970236279</v>
      </c>
    </row>
    <row r="49" spans="1:5" x14ac:dyDescent="0.25">
      <c r="A49">
        <v>2047</v>
      </c>
      <c r="B49" s="1">
        <v>63.01</v>
      </c>
      <c r="C49" s="1">
        <v>31.34</v>
      </c>
      <c r="D49" s="1">
        <f t="shared" si="1"/>
        <v>21.127931034482764</v>
      </c>
      <c r="E49" s="1">
        <f t="shared" si="0"/>
        <v>33.715978479165393</v>
      </c>
    </row>
    <row r="50" spans="1:5" x14ac:dyDescent="0.25">
      <c r="A50">
        <v>2048</v>
      </c>
      <c r="B50" s="1">
        <v>63.36</v>
      </c>
      <c r="C50" s="1">
        <v>30.48</v>
      </c>
      <c r="D50" s="1">
        <f t="shared" si="1"/>
        <v>20.879824561403513</v>
      </c>
      <c r="E50" s="1">
        <f t="shared" si="0"/>
        <v>32.745184935415772</v>
      </c>
    </row>
    <row r="51" spans="1:5" x14ac:dyDescent="0.25">
      <c r="A51">
        <v>2049</v>
      </c>
      <c r="B51" s="1">
        <v>63.71</v>
      </c>
      <c r="C51" s="1">
        <v>29.67</v>
      </c>
      <c r="D51" s="1">
        <f t="shared" si="1"/>
        <v>20.641607142857151</v>
      </c>
      <c r="E51" s="1">
        <f t="shared" si="0"/>
        <v>31.822629454791038</v>
      </c>
    </row>
    <row r="52" spans="1:5" x14ac:dyDescent="0.25">
      <c r="A52">
        <v>2050</v>
      </c>
      <c r="B52" s="1">
        <v>64.069999999999993</v>
      </c>
      <c r="C52" s="1">
        <v>28.92</v>
      </c>
      <c r="D52" s="1">
        <f t="shared" si="1"/>
        <v>20.412909090909096</v>
      </c>
      <c r="E52" s="1">
        <f t="shared" si="0"/>
        <v>30.951840618353728</v>
      </c>
    </row>
    <row r="53" spans="1:5" x14ac:dyDescent="0.25">
      <c r="A53">
        <v>2051</v>
      </c>
      <c r="B53" s="1">
        <v>64.44</v>
      </c>
      <c r="C53" s="1">
        <v>28.21</v>
      </c>
      <c r="D53" s="1">
        <f t="shared" si="1"/>
        <v>20.19351851851852</v>
      </c>
      <c r="E53" s="1">
        <f t="shared" si="0"/>
        <v>30.129288432847609</v>
      </c>
    </row>
    <row r="54" spans="1:5" x14ac:dyDescent="0.25">
      <c r="A54">
        <v>2052</v>
      </c>
      <c r="B54" s="1">
        <v>64.8</v>
      </c>
      <c r="C54" s="1">
        <v>27.52</v>
      </c>
      <c r="D54" s="1">
        <f t="shared" si="1"/>
        <v>19.983207547169815</v>
      </c>
      <c r="E54" s="1">
        <f t="shared" si="0"/>
        <v>29.346501902993325</v>
      </c>
    </row>
    <row r="55" spans="1:5" x14ac:dyDescent="0.25">
      <c r="A55">
        <v>2053</v>
      </c>
      <c r="B55" s="1">
        <v>65.16</v>
      </c>
      <c r="C55" s="1">
        <v>26.87</v>
      </c>
      <c r="D55" s="1">
        <f t="shared" si="1"/>
        <v>19.781346153846162</v>
      </c>
      <c r="E55" s="1">
        <f t="shared" si="0"/>
        <v>28.603551332095325</v>
      </c>
    </row>
    <row r="56" spans="1:5" x14ac:dyDescent="0.25">
      <c r="A56">
        <v>2054</v>
      </c>
      <c r="B56" s="1">
        <v>65.52</v>
      </c>
      <c r="C56" s="1">
        <v>26.23</v>
      </c>
      <c r="D56" s="1">
        <f t="shared" si="1"/>
        <v>19.587450980392163</v>
      </c>
      <c r="E56" s="1">
        <f t="shared" si="0"/>
        <v>27.891485932466725</v>
      </c>
    </row>
    <row r="57" spans="1:5" x14ac:dyDescent="0.25">
      <c r="A57">
        <v>2055</v>
      </c>
      <c r="B57" s="1">
        <v>65.88</v>
      </c>
      <c r="C57" s="1">
        <v>25.61</v>
      </c>
      <c r="D57" s="1">
        <f t="shared" si="1"/>
        <v>19.400800000000007</v>
      </c>
      <c r="E57" s="1">
        <f t="shared" si="0"/>
        <v>27.207040152726705</v>
      </c>
    </row>
    <row r="58" spans="1:5" x14ac:dyDescent="0.25">
      <c r="A58">
        <v>2056</v>
      </c>
      <c r="B58" s="1">
        <v>66.23</v>
      </c>
      <c r="C58" s="1">
        <v>25.03</v>
      </c>
      <c r="D58" s="1">
        <f t="shared" si="1"/>
        <v>19.22102040816327</v>
      </c>
      <c r="E58" s="1">
        <f t="shared" si="0"/>
        <v>26.553928106908693</v>
      </c>
    </row>
    <row r="59" spans="1:5" x14ac:dyDescent="0.25">
      <c r="A59">
        <v>2057</v>
      </c>
      <c r="B59" s="1">
        <v>66.569999999999993</v>
      </c>
      <c r="C59" s="1">
        <v>24.47</v>
      </c>
      <c r="D59" s="1">
        <f t="shared" si="1"/>
        <v>19.048125000000002</v>
      </c>
      <c r="E59" s="1">
        <f t="shared" si="0"/>
        <v>25.928749674836084</v>
      </c>
    </row>
    <row r="60" spans="1:5" x14ac:dyDescent="0.25">
      <c r="A60">
        <v>2058</v>
      </c>
      <c r="B60" s="1">
        <v>66.900000000000006</v>
      </c>
      <c r="C60" s="1">
        <v>23.94</v>
      </c>
      <c r="D60" s="1">
        <f t="shared" si="1"/>
        <v>18.88170212765958</v>
      </c>
      <c r="E60" s="1">
        <f t="shared" si="0"/>
        <v>25.332124772385257</v>
      </c>
    </row>
    <row r="61" spans="1:5" x14ac:dyDescent="0.25">
      <c r="A61">
        <v>2059</v>
      </c>
      <c r="B61" s="1">
        <v>67.22</v>
      </c>
      <c r="C61" s="1">
        <v>23.43</v>
      </c>
      <c r="D61" s="1">
        <f t="shared" si="1"/>
        <v>18.721956521739134</v>
      </c>
      <c r="E61" s="1">
        <f t="shared" si="0"/>
        <v>24.761487340669678</v>
      </c>
    </row>
    <row r="62" spans="1:5" x14ac:dyDescent="0.25">
      <c r="A62">
        <v>2060</v>
      </c>
      <c r="B62" s="1">
        <v>67.53</v>
      </c>
      <c r="C62" s="1">
        <v>22.94</v>
      </c>
      <c r="D62" s="1">
        <f t="shared" si="1"/>
        <v>18.568888888888889</v>
      </c>
      <c r="E62" s="1">
        <f t="shared" si="0"/>
        <v>24.215041138468774</v>
      </c>
    </row>
    <row r="63" spans="1:5" x14ac:dyDescent="0.25">
      <c r="A63">
        <v>2061</v>
      </c>
      <c r="B63" s="1">
        <v>67.819999999999993</v>
      </c>
      <c r="C63" s="1">
        <v>22.47</v>
      </c>
      <c r="D63" s="1">
        <f t="shared" si="1"/>
        <v>18.422045454545454</v>
      </c>
      <c r="E63" s="1">
        <f t="shared" si="0"/>
        <v>23.691528796928139</v>
      </c>
    </row>
    <row r="64" spans="1:5" x14ac:dyDescent="0.25">
      <c r="A64">
        <v>2062</v>
      </c>
      <c r="B64" s="1">
        <v>68.09</v>
      </c>
      <c r="C64" s="1">
        <v>22.03</v>
      </c>
      <c r="D64" s="1">
        <f t="shared" si="1"/>
        <v>18.281395348837211</v>
      </c>
      <c r="E64" s="1">
        <f t="shared" si="0"/>
        <v>23.193070157849696</v>
      </c>
    </row>
    <row r="65" spans="1:5" x14ac:dyDescent="0.25">
      <c r="A65">
        <v>2063</v>
      </c>
      <c r="B65" s="1">
        <v>68.349999999999994</v>
      </c>
      <c r="C65" s="1">
        <v>21.6</v>
      </c>
      <c r="D65" s="1">
        <f t="shared" si="1"/>
        <v>18.146666666666668</v>
      </c>
      <c r="E65" s="1">
        <f t="shared" si="0"/>
        <v>22.715149110494789</v>
      </c>
    </row>
    <row r="66" spans="1:5" x14ac:dyDescent="0.25">
      <c r="A66">
        <v>2064</v>
      </c>
      <c r="B66" s="1">
        <v>68.599999999999994</v>
      </c>
      <c r="C66" s="1">
        <v>21.2</v>
      </c>
      <c r="D66" s="1">
        <f t="shared" si="1"/>
        <v>18.017804878048782</v>
      </c>
      <c r="E66" s="1">
        <f t="shared" si="0"/>
        <v>22.26060437734635</v>
      </c>
    </row>
    <row r="67" spans="1:5" x14ac:dyDescent="0.25">
      <c r="A67">
        <v>2065</v>
      </c>
      <c r="B67" s="1">
        <v>68.83</v>
      </c>
      <c r="C67" s="1">
        <v>20.82</v>
      </c>
      <c r="D67" s="1">
        <f t="shared" si="1"/>
        <v>17.894749999999998</v>
      </c>
      <c r="E67" s="1">
        <f t="shared" si="0"/>
        <v>21.828423064142445</v>
      </c>
    </row>
    <row r="68" spans="1:5" x14ac:dyDescent="0.25">
      <c r="A68">
        <v>2066</v>
      </c>
      <c r="B68" s="1">
        <v>69.05</v>
      </c>
      <c r="C68" s="1">
        <v>20.46</v>
      </c>
      <c r="D68" s="1">
        <f t="shared" si="1"/>
        <v>17.777435897435897</v>
      </c>
      <c r="E68" s="1">
        <f t="shared" ref="E68:E102" si="2">0.3*C68+ 0.7*E67</f>
        <v>21.417896144899711</v>
      </c>
    </row>
    <row r="69" spans="1:5" x14ac:dyDescent="0.25">
      <c r="A69">
        <v>2067</v>
      </c>
      <c r="B69" s="1">
        <v>69.25</v>
      </c>
      <c r="C69" s="1">
        <v>20.12</v>
      </c>
      <c r="D69" s="1">
        <f t="shared" si="1"/>
        <v>17.665526315789474</v>
      </c>
      <c r="E69" s="1">
        <f t="shared" si="2"/>
        <v>21.028527301429797</v>
      </c>
    </row>
    <row r="70" spans="1:5" x14ac:dyDescent="0.25">
      <c r="A70">
        <v>2068</v>
      </c>
      <c r="B70" s="1">
        <v>69.44</v>
      </c>
      <c r="C70" s="1">
        <v>19.8</v>
      </c>
      <c r="D70" s="1">
        <f t="shared" si="1"/>
        <v>17.559189189189187</v>
      </c>
      <c r="E70" s="1">
        <f t="shared" si="2"/>
        <v>20.659969111000859</v>
      </c>
    </row>
    <row r="71" spans="1:5" x14ac:dyDescent="0.25">
      <c r="A71">
        <v>2069</v>
      </c>
      <c r="B71" s="1">
        <v>69.61</v>
      </c>
      <c r="C71" s="1">
        <v>19.489999999999998</v>
      </c>
      <c r="D71" s="1">
        <f t="shared" ref="D71:D102" si="3">AVERAGE(C67:C141)</f>
        <v>17.458055555555557</v>
      </c>
      <c r="E71" s="1">
        <f t="shared" si="2"/>
        <v>20.308978377700598</v>
      </c>
    </row>
    <row r="72" spans="1:5" x14ac:dyDescent="0.25">
      <c r="A72">
        <v>2070</v>
      </c>
      <c r="B72" s="1">
        <v>69.77</v>
      </c>
      <c r="C72" s="1">
        <v>19.2</v>
      </c>
      <c r="D72" s="1">
        <f t="shared" si="3"/>
        <v>17.361999999999998</v>
      </c>
      <c r="E72" s="1">
        <f t="shared" si="2"/>
        <v>19.976284864390415</v>
      </c>
    </row>
    <row r="73" spans="1:5" x14ac:dyDescent="0.25">
      <c r="A73">
        <v>2071</v>
      </c>
      <c r="B73" s="1">
        <v>69.92</v>
      </c>
      <c r="C73" s="1">
        <v>18.93</v>
      </c>
      <c r="D73" s="1">
        <f t="shared" si="3"/>
        <v>17.270882352941175</v>
      </c>
      <c r="E73" s="1">
        <f t="shared" si="2"/>
        <v>19.662399405073288</v>
      </c>
    </row>
    <row r="74" spans="1:5" x14ac:dyDescent="0.25">
      <c r="A74">
        <v>2072</v>
      </c>
      <c r="B74" s="1">
        <v>70.05</v>
      </c>
      <c r="C74" s="1">
        <v>18.68</v>
      </c>
      <c r="D74" s="1">
        <f t="shared" si="3"/>
        <v>17.184545454545454</v>
      </c>
      <c r="E74" s="1">
        <f t="shared" si="2"/>
        <v>19.3676795835513</v>
      </c>
    </row>
    <row r="75" spans="1:5" x14ac:dyDescent="0.25">
      <c r="A75">
        <v>2073</v>
      </c>
      <c r="B75" s="1">
        <v>70.17</v>
      </c>
      <c r="C75" s="1">
        <v>18.440000000000001</v>
      </c>
      <c r="D75" s="1">
        <f t="shared" si="3"/>
        <v>17.102812499999995</v>
      </c>
      <c r="E75" s="1">
        <f t="shared" si="2"/>
        <v>19.08937570848591</v>
      </c>
    </row>
    <row r="76" spans="1:5" x14ac:dyDescent="0.25">
      <c r="A76">
        <v>2074</v>
      </c>
      <c r="B76" s="1">
        <v>70.27</v>
      </c>
      <c r="C76" s="1">
        <v>18.21</v>
      </c>
      <c r="D76" s="1">
        <f t="shared" si="3"/>
        <v>17.025806451612898</v>
      </c>
      <c r="E76" s="1">
        <f t="shared" si="2"/>
        <v>18.825562995940135</v>
      </c>
    </row>
    <row r="77" spans="1:5" x14ac:dyDescent="0.25">
      <c r="A77">
        <v>2075</v>
      </c>
      <c r="B77" s="1">
        <v>70.349999999999994</v>
      </c>
      <c r="C77" s="1">
        <v>18.010000000000002</v>
      </c>
      <c r="D77" s="1">
        <f t="shared" si="3"/>
        <v>16.953333333333333</v>
      </c>
      <c r="E77" s="1">
        <f t="shared" si="2"/>
        <v>18.580894097158094</v>
      </c>
    </row>
    <row r="78" spans="1:5" x14ac:dyDescent="0.25">
      <c r="A78">
        <v>2076</v>
      </c>
      <c r="B78" s="1">
        <v>70.42</v>
      </c>
      <c r="C78" s="1">
        <v>17.82</v>
      </c>
      <c r="D78" s="1">
        <f t="shared" si="3"/>
        <v>16.8851724137931</v>
      </c>
      <c r="E78" s="1">
        <f t="shared" si="2"/>
        <v>18.352625868010666</v>
      </c>
    </row>
    <row r="79" spans="1:5" x14ac:dyDescent="0.25">
      <c r="A79">
        <v>2077</v>
      </c>
      <c r="B79" s="1">
        <v>70.459999999999994</v>
      </c>
      <c r="C79" s="1">
        <v>17.64</v>
      </c>
      <c r="D79" s="1">
        <f t="shared" si="3"/>
        <v>16.821071428571425</v>
      </c>
      <c r="E79" s="1">
        <f t="shared" si="2"/>
        <v>18.138838107607466</v>
      </c>
    </row>
    <row r="80" spans="1:5" x14ac:dyDescent="0.25">
      <c r="A80">
        <v>2078</v>
      </c>
      <c r="B80" s="1">
        <v>70.5</v>
      </c>
      <c r="C80" s="1">
        <v>17.489999999999998</v>
      </c>
      <c r="D80" s="1">
        <f t="shared" si="3"/>
        <v>16.761111111111106</v>
      </c>
      <c r="E80" s="1">
        <f t="shared" si="2"/>
        <v>17.944186675325223</v>
      </c>
    </row>
    <row r="81" spans="1:5" x14ac:dyDescent="0.25">
      <c r="A81">
        <v>2079</v>
      </c>
      <c r="B81" s="1">
        <v>70.510000000000005</v>
      </c>
      <c r="C81" s="1">
        <v>17.34</v>
      </c>
      <c r="D81" s="1">
        <f t="shared" si="3"/>
        <v>16.705384615384613</v>
      </c>
      <c r="E81" s="1">
        <f t="shared" si="2"/>
        <v>17.762930672727656</v>
      </c>
    </row>
    <row r="82" spans="1:5" x14ac:dyDescent="0.25">
      <c r="A82">
        <v>2080</v>
      </c>
      <c r="B82" s="1">
        <v>70.52</v>
      </c>
      <c r="C82" s="1">
        <v>17.21</v>
      </c>
      <c r="D82" s="1">
        <f t="shared" si="3"/>
        <v>16.653199999999998</v>
      </c>
      <c r="E82" s="1">
        <f t="shared" si="2"/>
        <v>17.597051470909356</v>
      </c>
    </row>
    <row r="83" spans="1:5" x14ac:dyDescent="0.25">
      <c r="A83">
        <v>2081</v>
      </c>
      <c r="B83" s="1">
        <v>70.5</v>
      </c>
      <c r="C83" s="1">
        <v>17.09</v>
      </c>
      <c r="D83" s="1">
        <f t="shared" si="3"/>
        <v>16.604583333333331</v>
      </c>
      <c r="E83" s="1">
        <f t="shared" si="2"/>
        <v>17.444936029636548</v>
      </c>
    </row>
    <row r="84" spans="1:5" x14ac:dyDescent="0.25">
      <c r="A84">
        <v>2082</v>
      </c>
      <c r="B84" s="1">
        <v>70.48</v>
      </c>
      <c r="C84" s="1">
        <v>16.98</v>
      </c>
      <c r="D84" s="1">
        <f t="shared" si="3"/>
        <v>16.559565217391302</v>
      </c>
      <c r="E84" s="1">
        <f t="shared" si="2"/>
        <v>17.305455220745582</v>
      </c>
    </row>
    <row r="85" spans="1:5" x14ac:dyDescent="0.25">
      <c r="A85">
        <v>2083</v>
      </c>
      <c r="B85" s="1">
        <v>70.44</v>
      </c>
      <c r="C85" s="1">
        <v>16.88</v>
      </c>
      <c r="D85" s="1">
        <f t="shared" si="3"/>
        <v>16.517272727272726</v>
      </c>
      <c r="E85" s="1">
        <f t="shared" si="2"/>
        <v>17.177818654521907</v>
      </c>
    </row>
    <row r="86" spans="1:5" x14ac:dyDescent="0.25">
      <c r="A86">
        <v>2084</v>
      </c>
      <c r="B86" s="1">
        <v>70.400000000000006</v>
      </c>
      <c r="C86" s="1">
        <v>16.8</v>
      </c>
      <c r="D86" s="1">
        <f t="shared" si="3"/>
        <v>16.478095238095236</v>
      </c>
      <c r="E86" s="1">
        <f t="shared" si="2"/>
        <v>17.064473058165333</v>
      </c>
    </row>
    <row r="87" spans="1:5" x14ac:dyDescent="0.25">
      <c r="A87">
        <v>2085</v>
      </c>
      <c r="B87" s="1">
        <v>70.34</v>
      </c>
      <c r="C87" s="1">
        <v>16.71</v>
      </c>
      <c r="D87" s="1">
        <f t="shared" si="3"/>
        <v>16.441499999999998</v>
      </c>
      <c r="E87" s="1">
        <f t="shared" si="2"/>
        <v>16.958131140715732</v>
      </c>
    </row>
    <row r="88" spans="1:5" x14ac:dyDescent="0.25">
      <c r="A88">
        <v>2086</v>
      </c>
      <c r="B88" s="1">
        <v>70.27</v>
      </c>
      <c r="C88" s="1">
        <v>16.64</v>
      </c>
      <c r="D88" s="1">
        <f t="shared" si="3"/>
        <v>16.407368421052634</v>
      </c>
      <c r="E88" s="1">
        <f t="shared" si="2"/>
        <v>16.862691798501011</v>
      </c>
    </row>
    <row r="89" spans="1:5" x14ac:dyDescent="0.25">
      <c r="A89">
        <v>2087</v>
      </c>
      <c r="B89" s="1">
        <v>70.180000000000007</v>
      </c>
      <c r="C89" s="1">
        <v>16.57</v>
      </c>
      <c r="D89" s="1">
        <f t="shared" si="3"/>
        <v>16.375555555555554</v>
      </c>
      <c r="E89" s="1">
        <f t="shared" si="2"/>
        <v>16.774884258950706</v>
      </c>
    </row>
    <row r="90" spans="1:5" x14ac:dyDescent="0.25">
      <c r="A90">
        <v>2088</v>
      </c>
      <c r="B90" s="1">
        <v>70.09</v>
      </c>
      <c r="C90" s="1">
        <v>16.5</v>
      </c>
      <c r="D90" s="1">
        <f t="shared" si="3"/>
        <v>16.345882352941175</v>
      </c>
      <c r="E90" s="1">
        <f t="shared" si="2"/>
        <v>16.692418981265494</v>
      </c>
    </row>
    <row r="91" spans="1:5" x14ac:dyDescent="0.25">
      <c r="A91">
        <v>2089</v>
      </c>
      <c r="B91" s="1">
        <v>69.989999999999995</v>
      </c>
      <c r="C91" s="1">
        <v>16.45</v>
      </c>
      <c r="D91" s="1">
        <f t="shared" si="3"/>
        <v>16.317499999999999</v>
      </c>
      <c r="E91" s="1">
        <f t="shared" si="2"/>
        <v>16.619693286885845</v>
      </c>
    </row>
    <row r="92" spans="1:5" x14ac:dyDescent="0.25">
      <c r="A92">
        <v>2090</v>
      </c>
      <c r="B92" s="1">
        <v>69.88</v>
      </c>
      <c r="C92" s="1">
        <v>16.39</v>
      </c>
      <c r="D92" s="1">
        <f t="shared" si="3"/>
        <v>16.291333333333334</v>
      </c>
      <c r="E92" s="1">
        <f t="shared" si="2"/>
        <v>16.550785300820088</v>
      </c>
    </row>
    <row r="93" spans="1:5" x14ac:dyDescent="0.25">
      <c r="A93">
        <v>2091</v>
      </c>
      <c r="B93" s="1">
        <v>69.760000000000005</v>
      </c>
      <c r="C93" s="1">
        <v>16.34</v>
      </c>
      <c r="D93" s="1">
        <f t="shared" si="3"/>
        <v>16.266428571428573</v>
      </c>
      <c r="E93" s="1">
        <f t="shared" si="2"/>
        <v>16.487549710574061</v>
      </c>
    </row>
    <row r="94" spans="1:5" x14ac:dyDescent="0.25">
      <c r="A94">
        <v>2092</v>
      </c>
      <c r="B94" s="1">
        <v>69.63</v>
      </c>
      <c r="C94" s="1">
        <v>16.3</v>
      </c>
      <c r="D94" s="1">
        <f t="shared" si="3"/>
        <v>16.243076923076924</v>
      </c>
      <c r="E94" s="1">
        <f t="shared" si="2"/>
        <v>16.43128479740184</v>
      </c>
    </row>
    <row r="95" spans="1:5" x14ac:dyDescent="0.25">
      <c r="A95">
        <v>2093</v>
      </c>
      <c r="B95" s="1">
        <v>69.5</v>
      </c>
      <c r="C95" s="1">
        <v>16.260000000000002</v>
      </c>
      <c r="D95" s="1">
        <f t="shared" si="3"/>
        <v>16.221666666666668</v>
      </c>
      <c r="E95" s="1">
        <f t="shared" si="2"/>
        <v>16.379899358181287</v>
      </c>
    </row>
    <row r="96" spans="1:5" x14ac:dyDescent="0.25">
      <c r="A96">
        <v>2094</v>
      </c>
      <c r="B96" s="1">
        <v>69.36</v>
      </c>
      <c r="C96" s="1">
        <v>16.22</v>
      </c>
      <c r="D96" s="1">
        <f t="shared" si="3"/>
        <v>16.200909090909089</v>
      </c>
      <c r="E96" s="1">
        <f t="shared" si="2"/>
        <v>16.331929550726898</v>
      </c>
    </row>
    <row r="97" spans="1:5" x14ac:dyDescent="0.25">
      <c r="A97">
        <v>2095</v>
      </c>
      <c r="B97" s="1">
        <v>69.209999999999994</v>
      </c>
      <c r="C97" s="1">
        <v>16.190000000000001</v>
      </c>
      <c r="D97" s="1">
        <f t="shared" si="3"/>
        <v>16.181999999999999</v>
      </c>
      <c r="E97" s="1">
        <f t="shared" si="2"/>
        <v>16.289350685508829</v>
      </c>
    </row>
    <row r="98" spans="1:5" x14ac:dyDescent="0.25">
      <c r="A98">
        <v>2096</v>
      </c>
      <c r="B98" s="1">
        <v>69.06</v>
      </c>
      <c r="C98" s="1">
        <v>16.149999999999999</v>
      </c>
      <c r="D98" s="1">
        <f t="shared" si="3"/>
        <v>16.164444444444445</v>
      </c>
      <c r="E98" s="1">
        <f t="shared" si="2"/>
        <v>16.247545479856178</v>
      </c>
    </row>
    <row r="99" spans="1:5" x14ac:dyDescent="0.25">
      <c r="A99">
        <v>2097</v>
      </c>
      <c r="B99" s="1">
        <v>68.91</v>
      </c>
      <c r="C99" s="1">
        <v>16.13</v>
      </c>
      <c r="D99" s="1">
        <f t="shared" si="3"/>
        <v>16.147499999999997</v>
      </c>
      <c r="E99" s="1">
        <f t="shared" si="2"/>
        <v>16.212281835899322</v>
      </c>
    </row>
    <row r="100" spans="1:5" x14ac:dyDescent="0.25">
      <c r="A100">
        <v>2098</v>
      </c>
      <c r="B100" s="1">
        <v>68.760000000000005</v>
      </c>
      <c r="C100" s="1">
        <v>16.100000000000001</v>
      </c>
      <c r="D100" s="1">
        <f t="shared" si="3"/>
        <v>16.131428571428568</v>
      </c>
      <c r="E100" s="1">
        <f t="shared" si="2"/>
        <v>16.178597285129527</v>
      </c>
    </row>
    <row r="101" spans="1:5" x14ac:dyDescent="0.25">
      <c r="A101">
        <v>2099</v>
      </c>
      <c r="B101" s="1">
        <v>68.62</v>
      </c>
      <c r="C101" s="1">
        <v>16.079999999999998</v>
      </c>
      <c r="D101" s="1">
        <f t="shared" si="3"/>
        <v>16.116666666666664</v>
      </c>
      <c r="E101" s="1">
        <f t="shared" si="2"/>
        <v>16.149018099590666</v>
      </c>
    </row>
    <row r="102" spans="1:5" x14ac:dyDescent="0.25">
      <c r="A102">
        <v>2100</v>
      </c>
      <c r="B102" s="1">
        <v>68.48</v>
      </c>
      <c r="C102" s="1">
        <v>16.05</v>
      </c>
      <c r="D102" s="1">
        <f t="shared" si="3"/>
        <v>16.102</v>
      </c>
      <c r="E102" s="1">
        <f t="shared" si="2"/>
        <v>16.119312669713466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C3D8-8553-41E3-AECE-88D3817FDC60}">
  <dimension ref="A1:E21"/>
  <sheetViews>
    <sheetView workbookViewId="0">
      <selection activeCell="E26" sqref="E26"/>
    </sheetView>
  </sheetViews>
  <sheetFormatPr defaultRowHeight="15" x14ac:dyDescent="0.25"/>
  <cols>
    <col min="1" max="1" width="20.5703125" bestFit="1" customWidth="1"/>
    <col min="2" max="2" width="24.85546875" bestFit="1" customWidth="1"/>
    <col min="3" max="3" width="18.5703125" bestFit="1" customWidth="1"/>
    <col min="4" max="4" width="30.28515625" bestFit="1" customWidth="1"/>
    <col min="5" max="5" width="20.140625" bestFit="1" customWidth="1"/>
  </cols>
  <sheetData>
    <row r="1" spans="1:5" x14ac:dyDescent="0.25">
      <c r="A1" s="12" t="s">
        <v>37</v>
      </c>
      <c r="B1" s="13" t="s">
        <v>38</v>
      </c>
      <c r="C1" s="14" t="s">
        <v>39</v>
      </c>
      <c r="D1" s="14" t="s">
        <v>35</v>
      </c>
      <c r="E1" s="14" t="s">
        <v>36</v>
      </c>
    </row>
    <row r="2" spans="1:5" x14ac:dyDescent="0.25">
      <c r="A2" s="2" t="s">
        <v>7</v>
      </c>
      <c r="B2" s="3" t="s">
        <v>8</v>
      </c>
      <c r="C2" s="4">
        <v>70.569999999999993</v>
      </c>
      <c r="D2" s="4">
        <v>67.489999999999995</v>
      </c>
      <c r="E2" s="9">
        <v>-4.36E-2</v>
      </c>
    </row>
    <row r="3" spans="1:5" x14ac:dyDescent="0.25">
      <c r="A3" s="2" t="s">
        <v>9</v>
      </c>
      <c r="B3" s="5" t="s">
        <v>10</v>
      </c>
      <c r="C3" s="4">
        <v>70.569999999999993</v>
      </c>
      <c r="D3" s="4">
        <v>68.77</v>
      </c>
      <c r="E3" s="9">
        <v>-2.5499999999999998E-2</v>
      </c>
    </row>
    <row r="4" spans="1:5" x14ac:dyDescent="0.25">
      <c r="A4" s="2" t="s">
        <v>5</v>
      </c>
      <c r="B4" s="3" t="s">
        <v>6</v>
      </c>
      <c r="C4" s="4">
        <v>70.569999999999993</v>
      </c>
      <c r="D4" s="4">
        <v>66.010000000000005</v>
      </c>
      <c r="E4" s="9">
        <v>-6.4600000000000005E-2</v>
      </c>
    </row>
    <row r="5" spans="1:5" x14ac:dyDescent="0.25">
      <c r="A5" s="2" t="s">
        <v>11</v>
      </c>
      <c r="B5" s="5" t="s">
        <v>12</v>
      </c>
      <c r="C5" s="4">
        <v>70.569999999999993</v>
      </c>
      <c r="D5" s="4">
        <v>69.349999999999994</v>
      </c>
      <c r="E5" s="9">
        <v>-1.7299999999999999E-2</v>
      </c>
    </row>
    <row r="6" spans="1:5" x14ac:dyDescent="0.25">
      <c r="A6" s="2" t="s">
        <v>13</v>
      </c>
      <c r="B6" s="5" t="s">
        <v>14</v>
      </c>
      <c r="C6" s="4">
        <v>70.569999999999993</v>
      </c>
      <c r="D6" s="4">
        <v>69.39</v>
      </c>
      <c r="E6" s="9">
        <v>-1.67E-2</v>
      </c>
    </row>
    <row r="7" spans="1:5" x14ac:dyDescent="0.25">
      <c r="A7" s="2" t="s">
        <v>15</v>
      </c>
      <c r="B7" s="5" t="s">
        <v>14</v>
      </c>
      <c r="C7" s="4">
        <v>70.569999999999993</v>
      </c>
      <c r="D7" s="4">
        <v>69.39</v>
      </c>
      <c r="E7" s="9">
        <v>-1.67E-2</v>
      </c>
    </row>
    <row r="8" spans="1:5" x14ac:dyDescent="0.25">
      <c r="A8" s="6" t="s">
        <v>30</v>
      </c>
      <c r="B8" s="7" t="s">
        <v>31</v>
      </c>
      <c r="C8" s="8">
        <v>70.569999999999993</v>
      </c>
      <c r="D8" s="8">
        <v>0</v>
      </c>
      <c r="E8" s="9">
        <v>0</v>
      </c>
    </row>
    <row r="9" spans="1:5" x14ac:dyDescent="0.25">
      <c r="A9" s="2" t="s">
        <v>16</v>
      </c>
      <c r="B9" s="5" t="s">
        <v>17</v>
      </c>
      <c r="C9" s="4">
        <v>70.569999999999993</v>
      </c>
      <c r="D9" s="4">
        <v>69.72</v>
      </c>
      <c r="E9" s="9">
        <v>-1.2E-2</v>
      </c>
    </row>
    <row r="10" spans="1:5" x14ac:dyDescent="0.25">
      <c r="A10" s="2" t="s">
        <v>18</v>
      </c>
      <c r="B10" s="5" t="s">
        <v>19</v>
      </c>
      <c r="C10" s="4">
        <v>70.569999999999993</v>
      </c>
      <c r="D10" s="4">
        <v>69.75</v>
      </c>
      <c r="E10" s="9">
        <v>-1.1599999999999999E-2</v>
      </c>
    </row>
    <row r="11" spans="1:5" x14ac:dyDescent="0.25">
      <c r="A11" s="2" t="s">
        <v>22</v>
      </c>
      <c r="B11" s="5" t="s">
        <v>23</v>
      </c>
      <c r="C11" s="4">
        <v>70.569999999999993</v>
      </c>
      <c r="D11" s="4">
        <v>70.2</v>
      </c>
      <c r="E11" s="9">
        <v>-5.1999999999999998E-3</v>
      </c>
    </row>
    <row r="12" spans="1:5" x14ac:dyDescent="0.25">
      <c r="A12" s="2" t="s">
        <v>24</v>
      </c>
      <c r="B12" s="5" t="s">
        <v>14</v>
      </c>
      <c r="C12" s="4">
        <v>70.569999999999993</v>
      </c>
      <c r="D12" s="4">
        <v>70.209999999999994</v>
      </c>
      <c r="E12" s="9">
        <v>-5.1000000000000004E-3</v>
      </c>
    </row>
    <row r="13" spans="1:5" x14ac:dyDescent="0.25">
      <c r="A13" s="2" t="s">
        <v>20</v>
      </c>
      <c r="B13" s="3" t="s">
        <v>21</v>
      </c>
      <c r="C13" s="4">
        <v>70.569999999999993</v>
      </c>
      <c r="D13" s="4">
        <v>69.900000000000006</v>
      </c>
      <c r="E13" s="9">
        <v>-9.4999999999999998E-3</v>
      </c>
    </row>
    <row r="14" spans="1:5" x14ac:dyDescent="0.25">
      <c r="A14" s="2" t="s">
        <v>25</v>
      </c>
      <c r="B14" s="5" t="s">
        <v>26</v>
      </c>
      <c r="C14" s="4">
        <v>70.569999999999993</v>
      </c>
      <c r="D14" s="4">
        <v>70.23</v>
      </c>
      <c r="E14" s="9">
        <v>-4.7999999999999996E-3</v>
      </c>
    </row>
    <row r="15" spans="1:5" x14ac:dyDescent="0.25">
      <c r="A15" s="6" t="s">
        <v>16</v>
      </c>
      <c r="B15" s="7" t="s">
        <v>17</v>
      </c>
      <c r="C15" s="8">
        <v>70.569999999999993</v>
      </c>
      <c r="D15" s="8">
        <v>70.3</v>
      </c>
      <c r="E15" s="9">
        <v>-3.8E-3</v>
      </c>
    </row>
    <row r="16" spans="1:5" x14ac:dyDescent="0.25">
      <c r="A16" s="2" t="s">
        <v>27</v>
      </c>
      <c r="B16" s="5" t="s">
        <v>19</v>
      </c>
      <c r="C16" s="4">
        <v>70.569999999999993</v>
      </c>
      <c r="D16" s="4">
        <v>70.3</v>
      </c>
      <c r="E16" s="9">
        <v>-3.8E-3</v>
      </c>
    </row>
    <row r="17" spans="1:5" x14ac:dyDescent="0.25">
      <c r="A17" s="2" t="s">
        <v>28</v>
      </c>
      <c r="B17" s="5" t="s">
        <v>29</v>
      </c>
      <c r="C17" s="4">
        <v>70.569999999999993</v>
      </c>
      <c r="D17" s="4">
        <v>70.53</v>
      </c>
      <c r="E17" s="9">
        <v>-5.9999999999999995E-4</v>
      </c>
    </row>
    <row r="18" spans="1:5" x14ac:dyDescent="0.25">
      <c r="A18" s="6" t="s">
        <v>32</v>
      </c>
      <c r="B18" s="7" t="s">
        <v>31</v>
      </c>
      <c r="C18" s="8">
        <v>70.569999999999993</v>
      </c>
      <c r="D18" s="8">
        <v>0</v>
      </c>
      <c r="E18" s="9">
        <v>0</v>
      </c>
    </row>
    <row r="19" spans="1:5" x14ac:dyDescent="0.25">
      <c r="A19" s="6" t="s">
        <v>32</v>
      </c>
      <c r="B19" s="7" t="s">
        <v>31</v>
      </c>
      <c r="C19" s="8">
        <v>70.569999999999993</v>
      </c>
      <c r="D19" s="8">
        <v>0</v>
      </c>
      <c r="E19" s="9">
        <v>0</v>
      </c>
    </row>
    <row r="20" spans="1:5" x14ac:dyDescent="0.25">
      <c r="A20" s="6" t="s">
        <v>33</v>
      </c>
      <c r="B20" s="7" t="s">
        <v>31</v>
      </c>
      <c r="C20" s="8">
        <v>70.569999999999993</v>
      </c>
      <c r="D20" s="8">
        <v>0</v>
      </c>
      <c r="E20" s="9">
        <v>0</v>
      </c>
    </row>
    <row r="21" spans="1:5" x14ac:dyDescent="0.25">
      <c r="A21" s="2" t="s">
        <v>20</v>
      </c>
      <c r="B21" s="5" t="s">
        <v>34</v>
      </c>
      <c r="C21" s="4">
        <v>70.569999999999993</v>
      </c>
      <c r="D21" s="4">
        <v>71.06</v>
      </c>
      <c r="E21" s="9">
        <v>6.8999999999999999E-3</v>
      </c>
    </row>
  </sheetData>
  <conditionalFormatting sqref="D1:D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{447403BF-6329-405C-96B3-AA9F10EE3B53}</x14:id>
        </ext>
      </extLst>
    </cfRule>
  </conditionalFormatting>
  <conditionalFormatting sqref="D2:D2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{2B28E581-52A6-49C4-9B7A-D6CAFC351AB6}</x14:id>
        </ext>
      </extLst>
    </cfRule>
  </conditionalFormatting>
  <conditionalFormatting sqref="D1:E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{E59B4A1A-4D9B-4B80-94E9-1A8E421D03DB}</x14:id>
        </ext>
      </extLst>
    </cfRule>
  </conditionalFormatting>
  <conditionalFormatting sqref="E1:E1048576">
    <cfRule type="dataBar" priority="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{97772D04-D198-4B6F-8B0E-54CA9487A582}</x14:id>
        </ext>
      </extLst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{C798CA29-5FB3-41CD-9C81-A6E56C11E7F8}</x14:id>
        </ext>
      </extLst>
    </cfRule>
  </conditionalFormatting>
  <conditionalFormatting sqref="E2:E2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{B3B4C21F-D9B3-4260-8DAE-E4D91F408CE6}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7403BF-6329-405C-96B3-AA9F10EE3B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2B28E581-52A6-49C4-9B7A-D6CAFC351A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D2:D21</xm:sqref>
        </x14:conditionalFormatting>
        <x14:conditionalFormatting xmlns:xm="http://schemas.microsoft.com/office/excel/2006/main">
          <x14:cfRule type="dataBar" id="{E59B4A1A-4D9B-4B80-94E9-1A8E421D0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D1:E1048576</xm:sqref>
        </x14:conditionalFormatting>
        <x14:conditionalFormatting xmlns:xm="http://schemas.microsoft.com/office/excel/2006/main">
          <x14:cfRule type="dataBar" id="{97772D04-D198-4B6F-8B0E-54CA9487A5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98CA29-5FB3-41CD-9C81-A6E56C11E7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B3B4C21F-D9B3-4260-8DAE-E4D91F408C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F2C6-88E0-4996-B5A7-88576490C0A9}">
  <dimension ref="A1:M66"/>
  <sheetViews>
    <sheetView topLeftCell="A7" zoomScale="55" zoomScaleNormal="55" workbookViewId="0">
      <selection activeCell="E54" sqref="E54:E66"/>
    </sheetView>
  </sheetViews>
  <sheetFormatPr defaultRowHeight="15" x14ac:dyDescent="0.25"/>
  <cols>
    <col min="1" max="1" width="11.28515625" bestFit="1" customWidth="1"/>
    <col min="2" max="2" width="70.140625" bestFit="1" customWidth="1"/>
    <col min="3" max="3" width="12.28515625" bestFit="1" customWidth="1"/>
    <col min="4" max="4" width="13.28515625" bestFit="1" customWidth="1"/>
    <col min="5" max="5" width="18.42578125" bestFit="1" customWidth="1"/>
    <col min="6" max="6" width="17.42578125" bestFit="1" customWidth="1"/>
    <col min="7" max="7" width="18.5703125" bestFit="1" customWidth="1"/>
    <col min="8" max="8" width="25.42578125" bestFit="1" customWidth="1"/>
    <col min="9" max="9" width="24.140625" bestFit="1" customWidth="1"/>
    <col min="10" max="10" width="16.28515625" bestFit="1" customWidth="1"/>
    <col min="11" max="11" width="26.42578125" bestFit="1" customWidth="1"/>
    <col min="12" max="12" width="30.5703125" bestFit="1" customWidth="1"/>
    <col min="13" max="13" width="29.7109375" bestFit="1" customWidth="1"/>
  </cols>
  <sheetData>
    <row r="1" spans="1:13" x14ac:dyDescent="0.25">
      <c r="A1" s="19" t="s">
        <v>40</v>
      </c>
      <c r="B1" s="19" t="s">
        <v>76</v>
      </c>
      <c r="C1" s="19" t="s">
        <v>42</v>
      </c>
      <c r="D1" s="19" t="s">
        <v>43</v>
      </c>
      <c r="E1" s="19" t="s">
        <v>44</v>
      </c>
      <c r="F1" s="19" t="s">
        <v>45</v>
      </c>
      <c r="G1" s="19" t="s">
        <v>46</v>
      </c>
      <c r="H1" s="19" t="s">
        <v>47</v>
      </c>
      <c r="I1" s="19" t="s">
        <v>48</v>
      </c>
      <c r="J1" s="19" t="s">
        <v>49</v>
      </c>
      <c r="K1" s="19" t="s">
        <v>50</v>
      </c>
      <c r="L1" s="19" t="s">
        <v>77</v>
      </c>
      <c r="M1" s="19" t="s">
        <v>78</v>
      </c>
    </row>
    <row r="2" spans="1:13" x14ac:dyDescent="0.25">
      <c r="A2" s="15">
        <v>100</v>
      </c>
      <c r="B2" s="15">
        <v>-2</v>
      </c>
      <c r="C2" s="15">
        <v>-14</v>
      </c>
      <c r="D2" s="15">
        <v>-7.0000000000000007E-2</v>
      </c>
      <c r="E2" s="15">
        <v>5</v>
      </c>
      <c r="F2" s="15">
        <v>0</v>
      </c>
      <c r="G2" s="15">
        <v>0</v>
      </c>
      <c r="H2" s="15">
        <v>50</v>
      </c>
      <c r="I2" s="15">
        <v>0</v>
      </c>
      <c r="J2" s="15">
        <v>-10</v>
      </c>
      <c r="K2" s="15">
        <v>0</v>
      </c>
      <c r="L2" s="15">
        <v>0</v>
      </c>
      <c r="M2" s="15">
        <v>52.34</v>
      </c>
    </row>
    <row r="3" spans="1:13" x14ac:dyDescent="0.25">
      <c r="A3" s="15">
        <v>0</v>
      </c>
      <c r="B3" s="15">
        <v>5</v>
      </c>
      <c r="C3" s="15">
        <v>85</v>
      </c>
      <c r="D3" s="15">
        <v>0</v>
      </c>
      <c r="E3" s="15">
        <v>5</v>
      </c>
      <c r="F3" s="15">
        <v>-25</v>
      </c>
      <c r="G3" s="15">
        <v>5</v>
      </c>
      <c r="H3" s="15">
        <v>50</v>
      </c>
      <c r="I3" s="15">
        <v>50</v>
      </c>
      <c r="J3" s="15">
        <v>0</v>
      </c>
      <c r="K3" s="15">
        <v>0</v>
      </c>
      <c r="L3" s="15">
        <v>100</v>
      </c>
      <c r="M3" s="15">
        <v>55.03</v>
      </c>
    </row>
    <row r="4" spans="1:13" x14ac:dyDescent="0.25">
      <c r="A4" s="15">
        <v>0</v>
      </c>
      <c r="B4" s="15">
        <v>-2</v>
      </c>
      <c r="C4" s="15">
        <v>-14</v>
      </c>
      <c r="D4" s="15">
        <v>-7.0000000000000007E-2</v>
      </c>
      <c r="E4" s="15">
        <v>-0.7</v>
      </c>
      <c r="F4" s="15">
        <v>-25</v>
      </c>
      <c r="G4" s="15">
        <v>247</v>
      </c>
      <c r="H4" s="15">
        <v>50</v>
      </c>
      <c r="I4" s="15">
        <v>0</v>
      </c>
      <c r="J4" s="15">
        <v>0</v>
      </c>
      <c r="K4" s="15">
        <v>0</v>
      </c>
      <c r="L4" s="15">
        <v>100</v>
      </c>
      <c r="M4" s="15">
        <v>33</v>
      </c>
    </row>
    <row r="5" spans="1:13" x14ac:dyDescent="0.25">
      <c r="A5" s="15">
        <v>-15</v>
      </c>
      <c r="B5" s="15">
        <v>5</v>
      </c>
      <c r="C5" s="15">
        <v>85</v>
      </c>
      <c r="D5" s="15">
        <v>0</v>
      </c>
      <c r="E5" s="15">
        <v>5</v>
      </c>
      <c r="F5" s="15">
        <v>25</v>
      </c>
      <c r="G5" s="15">
        <v>247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34.1</v>
      </c>
    </row>
    <row r="6" spans="1:13" x14ac:dyDescent="0.25">
      <c r="A6" s="15">
        <v>0</v>
      </c>
      <c r="B6" s="15">
        <v>-2</v>
      </c>
      <c r="C6" s="15">
        <v>85</v>
      </c>
      <c r="D6" s="15">
        <v>7.0000000000000007E-2</v>
      </c>
      <c r="E6" s="15">
        <v>5</v>
      </c>
      <c r="F6" s="15">
        <v>0</v>
      </c>
      <c r="G6" s="15">
        <v>0</v>
      </c>
      <c r="H6" s="15">
        <v>50</v>
      </c>
      <c r="I6" s="15">
        <v>50</v>
      </c>
      <c r="J6" s="15">
        <v>1</v>
      </c>
      <c r="K6" s="15">
        <v>100</v>
      </c>
      <c r="L6" s="15">
        <v>0</v>
      </c>
      <c r="M6" s="15">
        <v>68.98</v>
      </c>
    </row>
    <row r="7" spans="1:13" x14ac:dyDescent="0.25">
      <c r="A7" s="15">
        <v>0</v>
      </c>
      <c r="B7" s="15">
        <v>5</v>
      </c>
      <c r="C7" s="15">
        <v>-14</v>
      </c>
      <c r="D7" s="15">
        <v>0</v>
      </c>
      <c r="E7" s="15">
        <v>-0.7</v>
      </c>
      <c r="F7" s="15">
        <v>25</v>
      </c>
      <c r="G7" s="15">
        <v>5</v>
      </c>
      <c r="H7" s="15">
        <v>50</v>
      </c>
      <c r="I7" s="15">
        <v>0</v>
      </c>
      <c r="J7" s="15">
        <v>-10</v>
      </c>
      <c r="K7" s="15">
        <v>0</v>
      </c>
      <c r="L7" s="15">
        <v>100</v>
      </c>
      <c r="M7" s="15">
        <v>57.11</v>
      </c>
    </row>
    <row r="8" spans="1:13" x14ac:dyDescent="0.25">
      <c r="A8" s="15">
        <v>100</v>
      </c>
      <c r="B8" s="15">
        <v>5</v>
      </c>
      <c r="C8" s="15">
        <v>-14</v>
      </c>
      <c r="D8" s="15">
        <v>0</v>
      </c>
      <c r="E8" s="15">
        <v>-0.7</v>
      </c>
      <c r="F8" s="15">
        <v>0</v>
      </c>
      <c r="G8" s="15">
        <v>0</v>
      </c>
      <c r="H8" s="15">
        <v>50</v>
      </c>
      <c r="I8" s="15">
        <v>0</v>
      </c>
      <c r="J8" s="15">
        <v>1</v>
      </c>
      <c r="K8" s="15">
        <v>0</v>
      </c>
      <c r="L8" s="15">
        <v>100</v>
      </c>
      <c r="M8" s="15">
        <v>56.91</v>
      </c>
    </row>
    <row r="9" spans="1:13" x14ac:dyDescent="0.25">
      <c r="A9" s="15">
        <v>-15</v>
      </c>
      <c r="B9" s="15">
        <v>5</v>
      </c>
      <c r="C9" s="15">
        <v>-14</v>
      </c>
      <c r="D9" s="15">
        <v>0</v>
      </c>
      <c r="E9" s="15">
        <v>0</v>
      </c>
      <c r="F9" s="15">
        <v>-25</v>
      </c>
      <c r="G9" s="15">
        <v>5</v>
      </c>
      <c r="H9" s="15">
        <v>50</v>
      </c>
      <c r="I9" s="15">
        <v>0</v>
      </c>
      <c r="J9" s="15">
        <v>1</v>
      </c>
      <c r="K9" s="15">
        <v>100</v>
      </c>
      <c r="L9" s="15">
        <v>0</v>
      </c>
      <c r="M9" s="15">
        <v>66.12</v>
      </c>
    </row>
    <row r="10" spans="1:13" x14ac:dyDescent="0.25">
      <c r="A10" s="15">
        <v>-15</v>
      </c>
      <c r="B10" s="15">
        <v>-2</v>
      </c>
      <c r="C10" s="15">
        <v>-14</v>
      </c>
      <c r="D10" s="15">
        <v>7.0000000000000007E-2</v>
      </c>
      <c r="E10" s="15">
        <v>5</v>
      </c>
      <c r="F10" s="15">
        <v>0</v>
      </c>
      <c r="G10" s="15">
        <v>5</v>
      </c>
      <c r="H10" s="15">
        <v>50</v>
      </c>
      <c r="I10" s="15">
        <v>0</v>
      </c>
      <c r="J10" s="15">
        <v>1</v>
      </c>
      <c r="K10" s="15">
        <v>100</v>
      </c>
      <c r="L10" s="15">
        <v>100</v>
      </c>
      <c r="M10" s="15">
        <v>66.95</v>
      </c>
    </row>
    <row r="11" spans="1:13" x14ac:dyDescent="0.25">
      <c r="A11" s="15">
        <v>0</v>
      </c>
      <c r="B11" s="15">
        <v>-2</v>
      </c>
      <c r="C11" s="15">
        <v>-14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50</v>
      </c>
      <c r="J11" s="15">
        <v>-10</v>
      </c>
      <c r="K11" s="15">
        <v>0</v>
      </c>
      <c r="L11" s="15">
        <v>0</v>
      </c>
      <c r="M11" s="15">
        <v>69.709999999999994</v>
      </c>
    </row>
    <row r="12" spans="1:13" x14ac:dyDescent="0.25">
      <c r="A12" s="15">
        <v>100</v>
      </c>
      <c r="B12" s="15">
        <v>5</v>
      </c>
      <c r="C12" s="15">
        <v>-14</v>
      </c>
      <c r="D12" s="15">
        <v>7.0000000000000007E-2</v>
      </c>
      <c r="E12" s="15">
        <v>0</v>
      </c>
      <c r="F12" s="15">
        <v>0</v>
      </c>
      <c r="G12" s="15">
        <v>247</v>
      </c>
      <c r="H12" s="15">
        <v>50</v>
      </c>
      <c r="I12" s="15">
        <v>0</v>
      </c>
      <c r="J12" s="15">
        <v>-10</v>
      </c>
      <c r="K12" s="15">
        <v>100</v>
      </c>
      <c r="L12" s="15">
        <v>0</v>
      </c>
      <c r="M12" s="15">
        <v>27.62</v>
      </c>
    </row>
    <row r="13" spans="1:13" x14ac:dyDescent="0.25">
      <c r="A13" s="15">
        <v>100</v>
      </c>
      <c r="B13" s="15">
        <v>-2</v>
      </c>
      <c r="C13" s="15">
        <v>-14</v>
      </c>
      <c r="D13" s="15">
        <v>7.0000000000000007E-2</v>
      </c>
      <c r="E13" s="15">
        <v>0</v>
      </c>
      <c r="F13" s="15">
        <v>25</v>
      </c>
      <c r="G13" s="15">
        <v>0</v>
      </c>
      <c r="H13" s="15">
        <v>50</v>
      </c>
      <c r="I13" s="15">
        <v>50</v>
      </c>
      <c r="J13" s="15">
        <v>-10</v>
      </c>
      <c r="K13" s="15">
        <v>100</v>
      </c>
      <c r="L13" s="15">
        <v>0</v>
      </c>
      <c r="M13" s="15">
        <v>50.98</v>
      </c>
    </row>
    <row r="14" spans="1:13" x14ac:dyDescent="0.25">
      <c r="A14" s="15">
        <v>-15</v>
      </c>
      <c r="B14" s="15">
        <v>5</v>
      </c>
      <c r="C14" s="15">
        <v>-14</v>
      </c>
      <c r="D14" s="15">
        <v>-7.0000000000000007E-2</v>
      </c>
      <c r="E14" s="15">
        <v>0</v>
      </c>
      <c r="F14" s="15">
        <v>-25</v>
      </c>
      <c r="G14" s="15">
        <v>247</v>
      </c>
      <c r="H14" s="15">
        <v>50</v>
      </c>
      <c r="I14" s="15">
        <v>0</v>
      </c>
      <c r="J14" s="15">
        <v>-10</v>
      </c>
      <c r="K14" s="15">
        <v>100</v>
      </c>
      <c r="L14" s="15">
        <v>100</v>
      </c>
      <c r="M14" s="15">
        <v>20.22</v>
      </c>
    </row>
    <row r="15" spans="1:13" x14ac:dyDescent="0.25">
      <c r="A15" s="15">
        <v>100</v>
      </c>
      <c r="B15" s="15">
        <v>5</v>
      </c>
      <c r="C15" s="15">
        <v>85</v>
      </c>
      <c r="D15" s="15">
        <v>-7.0000000000000007E-2</v>
      </c>
      <c r="E15" s="15">
        <v>5</v>
      </c>
      <c r="F15" s="15">
        <v>0</v>
      </c>
      <c r="G15" s="15">
        <v>5</v>
      </c>
      <c r="H15" s="15">
        <v>50</v>
      </c>
      <c r="I15" s="15">
        <v>50</v>
      </c>
      <c r="J15" s="15">
        <v>-10</v>
      </c>
      <c r="K15" s="15">
        <v>0</v>
      </c>
      <c r="L15" s="15">
        <v>0</v>
      </c>
      <c r="M15" s="15">
        <v>42.32</v>
      </c>
    </row>
    <row r="16" spans="1:13" x14ac:dyDescent="0.25">
      <c r="A16" s="15">
        <v>0</v>
      </c>
      <c r="B16" s="15">
        <v>-2</v>
      </c>
      <c r="C16" s="15">
        <v>-14</v>
      </c>
      <c r="D16" s="15">
        <v>0</v>
      </c>
      <c r="E16" s="15">
        <v>5</v>
      </c>
      <c r="F16" s="15">
        <v>0</v>
      </c>
      <c r="G16" s="15">
        <v>5</v>
      </c>
      <c r="H16" s="15">
        <v>0</v>
      </c>
      <c r="I16" s="15">
        <v>50</v>
      </c>
      <c r="J16" s="15">
        <v>0</v>
      </c>
      <c r="K16" s="15">
        <v>0</v>
      </c>
      <c r="L16" s="15">
        <v>0</v>
      </c>
      <c r="M16" s="15">
        <v>71.89</v>
      </c>
    </row>
    <row r="17" spans="1:13" x14ac:dyDescent="0.25">
      <c r="A17" s="15">
        <v>0</v>
      </c>
      <c r="B17" s="15">
        <v>-2</v>
      </c>
      <c r="C17" s="15">
        <v>85</v>
      </c>
      <c r="D17" s="15">
        <v>-7.0000000000000007E-2</v>
      </c>
      <c r="E17" s="15">
        <v>-0.7</v>
      </c>
      <c r="F17" s="15">
        <v>0</v>
      </c>
      <c r="G17" s="15">
        <v>0</v>
      </c>
      <c r="H17" s="15">
        <v>0</v>
      </c>
      <c r="I17" s="15">
        <v>50</v>
      </c>
      <c r="J17" s="15">
        <v>-10</v>
      </c>
      <c r="K17" s="15">
        <v>0</v>
      </c>
      <c r="L17" s="15">
        <v>100</v>
      </c>
      <c r="M17" s="15">
        <v>57.42</v>
      </c>
    </row>
    <row r="18" spans="1:13" x14ac:dyDescent="0.25">
      <c r="A18" s="15">
        <v>-15</v>
      </c>
      <c r="B18" s="15">
        <v>5</v>
      </c>
      <c r="C18" s="15">
        <v>-14</v>
      </c>
      <c r="D18" s="15">
        <v>0</v>
      </c>
      <c r="E18" s="15">
        <v>0</v>
      </c>
      <c r="F18" s="15">
        <v>-25</v>
      </c>
      <c r="G18" s="15">
        <v>0</v>
      </c>
      <c r="H18" s="15">
        <v>0</v>
      </c>
      <c r="I18" s="15">
        <v>50</v>
      </c>
      <c r="J18" s="15">
        <v>-10</v>
      </c>
      <c r="K18" s="15">
        <v>0</v>
      </c>
      <c r="L18" s="15">
        <v>0</v>
      </c>
      <c r="M18" s="15">
        <v>62.5</v>
      </c>
    </row>
    <row r="19" spans="1:13" x14ac:dyDescent="0.25">
      <c r="A19" s="15">
        <v>100</v>
      </c>
      <c r="B19" s="15">
        <v>5</v>
      </c>
      <c r="C19" s="15">
        <v>85</v>
      </c>
      <c r="D19" s="15">
        <v>0</v>
      </c>
      <c r="E19" s="15">
        <v>-0.7</v>
      </c>
      <c r="F19" s="15">
        <v>-25</v>
      </c>
      <c r="G19" s="15">
        <v>5</v>
      </c>
      <c r="H19" s="15">
        <v>0</v>
      </c>
      <c r="I19" s="15">
        <v>0</v>
      </c>
      <c r="J19" s="15">
        <v>-10</v>
      </c>
      <c r="K19" s="15">
        <v>100</v>
      </c>
      <c r="L19" s="15">
        <v>100</v>
      </c>
      <c r="M19" s="15">
        <v>41.56</v>
      </c>
    </row>
    <row r="20" spans="1:13" x14ac:dyDescent="0.25">
      <c r="A20" s="15">
        <v>-15</v>
      </c>
      <c r="B20" s="15">
        <v>-2</v>
      </c>
      <c r="C20" s="15">
        <v>85</v>
      </c>
      <c r="D20" s="15">
        <v>-7.0000000000000007E-2</v>
      </c>
      <c r="E20" s="15">
        <v>0</v>
      </c>
      <c r="F20" s="15">
        <v>0</v>
      </c>
      <c r="G20" s="15">
        <v>0</v>
      </c>
      <c r="H20" s="15">
        <v>50</v>
      </c>
      <c r="I20" s="15">
        <v>50</v>
      </c>
      <c r="J20" s="15">
        <v>1</v>
      </c>
      <c r="K20" s="15">
        <v>0</v>
      </c>
      <c r="L20" s="15">
        <v>100</v>
      </c>
      <c r="M20" s="15">
        <v>64.010000000000005</v>
      </c>
    </row>
    <row r="21" spans="1:13" x14ac:dyDescent="0.25">
      <c r="A21" s="15">
        <v>100</v>
      </c>
      <c r="B21" s="15">
        <v>-2</v>
      </c>
      <c r="C21" s="15">
        <v>-14</v>
      </c>
      <c r="D21" s="15">
        <v>7.0000000000000007E-2</v>
      </c>
      <c r="E21" s="15">
        <v>-0.7</v>
      </c>
      <c r="F21" s="15">
        <v>-25</v>
      </c>
      <c r="G21" s="15">
        <v>0</v>
      </c>
      <c r="H21" s="15">
        <v>0</v>
      </c>
      <c r="I21" s="15">
        <v>0</v>
      </c>
      <c r="J21" s="15">
        <v>1</v>
      </c>
      <c r="K21" s="15">
        <v>100</v>
      </c>
      <c r="L21" s="15">
        <v>0</v>
      </c>
      <c r="M21" s="15">
        <v>62.52</v>
      </c>
    </row>
    <row r="22" spans="1:13" x14ac:dyDescent="0.25">
      <c r="A22" s="15">
        <v>-15</v>
      </c>
      <c r="B22" s="15">
        <v>-2</v>
      </c>
      <c r="C22" s="15">
        <v>85</v>
      </c>
      <c r="D22" s="15">
        <v>0</v>
      </c>
      <c r="E22" s="15">
        <v>5</v>
      </c>
      <c r="F22" s="15">
        <v>25</v>
      </c>
      <c r="G22" s="15">
        <v>247</v>
      </c>
      <c r="H22" s="15">
        <v>0</v>
      </c>
      <c r="I22" s="15">
        <v>50</v>
      </c>
      <c r="J22" s="15">
        <v>0</v>
      </c>
      <c r="K22" s="15">
        <v>0</v>
      </c>
      <c r="L22" s="15">
        <v>0</v>
      </c>
      <c r="M22" s="15">
        <v>32.79</v>
      </c>
    </row>
    <row r="23" spans="1:13" x14ac:dyDescent="0.25">
      <c r="A23" s="15">
        <v>0</v>
      </c>
      <c r="B23" s="15">
        <v>-2</v>
      </c>
      <c r="C23" s="15">
        <v>85</v>
      </c>
      <c r="D23" s="15">
        <v>7.0000000000000007E-2</v>
      </c>
      <c r="E23" s="15">
        <v>5</v>
      </c>
      <c r="F23" s="15">
        <v>0</v>
      </c>
      <c r="G23" s="15">
        <v>247</v>
      </c>
      <c r="H23" s="15">
        <v>50</v>
      </c>
      <c r="I23" s="15">
        <v>0</v>
      </c>
      <c r="J23" s="15">
        <v>-10</v>
      </c>
      <c r="K23" s="15">
        <v>0</v>
      </c>
      <c r="L23" s="15">
        <v>0</v>
      </c>
      <c r="M23" s="15">
        <v>27.77</v>
      </c>
    </row>
    <row r="24" spans="1:13" x14ac:dyDescent="0.25">
      <c r="A24" s="15">
        <v>-15</v>
      </c>
      <c r="B24" s="15">
        <v>-2</v>
      </c>
      <c r="C24" s="15">
        <v>85</v>
      </c>
      <c r="D24" s="15">
        <v>7.0000000000000007E-2</v>
      </c>
      <c r="E24" s="15">
        <v>-0.7</v>
      </c>
      <c r="F24" s="15">
        <v>0</v>
      </c>
      <c r="G24" s="15">
        <v>5</v>
      </c>
      <c r="H24" s="15">
        <v>50</v>
      </c>
      <c r="I24" s="15">
        <v>0</v>
      </c>
      <c r="J24" s="15">
        <v>-10</v>
      </c>
      <c r="K24" s="15">
        <v>0</v>
      </c>
      <c r="L24" s="15">
        <v>0</v>
      </c>
      <c r="M24" s="15">
        <v>71.16</v>
      </c>
    </row>
    <row r="25" spans="1:13" x14ac:dyDescent="0.25">
      <c r="A25" s="15">
        <v>-15</v>
      </c>
      <c r="B25" s="15">
        <v>5</v>
      </c>
      <c r="C25" s="15">
        <v>-14</v>
      </c>
      <c r="D25" s="15">
        <v>7.0000000000000007E-2</v>
      </c>
      <c r="E25" s="15">
        <v>5</v>
      </c>
      <c r="F25" s="15">
        <v>0</v>
      </c>
      <c r="G25" s="15">
        <v>5</v>
      </c>
      <c r="H25" s="15">
        <v>50</v>
      </c>
      <c r="I25" s="15">
        <v>50</v>
      </c>
      <c r="J25" s="15">
        <v>0</v>
      </c>
      <c r="K25" s="15">
        <v>0</v>
      </c>
      <c r="L25" s="15">
        <v>0</v>
      </c>
      <c r="M25" s="15">
        <v>64.900000000000006</v>
      </c>
    </row>
    <row r="26" spans="1:13" x14ac:dyDescent="0.25">
      <c r="A26" s="15">
        <v>0</v>
      </c>
      <c r="B26" s="15">
        <v>5</v>
      </c>
      <c r="C26" s="15">
        <v>-14</v>
      </c>
      <c r="D26" s="15">
        <v>-7.0000000000000007E-2</v>
      </c>
      <c r="E26" s="15">
        <v>-0.7</v>
      </c>
      <c r="F26" s="15">
        <v>-25</v>
      </c>
      <c r="G26" s="15">
        <v>0</v>
      </c>
      <c r="H26" s="15">
        <v>0</v>
      </c>
      <c r="I26" s="15">
        <v>50</v>
      </c>
      <c r="J26" s="15">
        <v>1</v>
      </c>
      <c r="K26" s="15">
        <v>0</v>
      </c>
      <c r="L26" s="15">
        <v>100</v>
      </c>
      <c r="M26" s="15">
        <v>62.07</v>
      </c>
    </row>
    <row r="27" spans="1:13" x14ac:dyDescent="0.25">
      <c r="A27" s="15">
        <v>100</v>
      </c>
      <c r="B27" s="15">
        <v>-2</v>
      </c>
      <c r="C27" s="15">
        <v>85</v>
      </c>
      <c r="D27" s="15">
        <v>-7.0000000000000007E-2</v>
      </c>
      <c r="E27" s="15">
        <v>5</v>
      </c>
      <c r="F27" s="15">
        <v>-25</v>
      </c>
      <c r="G27" s="15">
        <v>0</v>
      </c>
      <c r="H27" s="15">
        <v>50</v>
      </c>
      <c r="I27" s="15">
        <v>0</v>
      </c>
      <c r="J27" s="15">
        <v>1</v>
      </c>
      <c r="K27" s="15">
        <v>0</v>
      </c>
      <c r="L27" s="15">
        <v>0</v>
      </c>
      <c r="M27" s="15">
        <v>55.23</v>
      </c>
    </row>
    <row r="28" spans="1:13" x14ac:dyDescent="0.25">
      <c r="A28" s="15">
        <v>0</v>
      </c>
      <c r="B28" s="15">
        <v>-2</v>
      </c>
      <c r="C28" s="15">
        <v>-14</v>
      </c>
      <c r="D28" s="15">
        <v>-7.0000000000000007E-2</v>
      </c>
      <c r="E28" s="15">
        <v>5</v>
      </c>
      <c r="F28" s="15">
        <v>-25</v>
      </c>
      <c r="G28" s="15">
        <v>247</v>
      </c>
      <c r="H28" s="15">
        <v>50</v>
      </c>
      <c r="I28" s="15">
        <v>50</v>
      </c>
      <c r="J28" s="15">
        <v>0</v>
      </c>
      <c r="K28" s="15">
        <v>100</v>
      </c>
      <c r="L28" s="15">
        <v>100</v>
      </c>
      <c r="M28" s="15">
        <v>22.23</v>
      </c>
    </row>
    <row r="29" spans="1:13" x14ac:dyDescent="0.25">
      <c r="A29" s="15">
        <v>0</v>
      </c>
      <c r="B29" s="15">
        <v>-2</v>
      </c>
      <c r="C29" s="15">
        <v>85</v>
      </c>
      <c r="D29" s="15">
        <v>7.0000000000000007E-2</v>
      </c>
      <c r="E29" s="15">
        <v>5</v>
      </c>
      <c r="F29" s="15">
        <v>0</v>
      </c>
      <c r="G29" s="15">
        <v>5</v>
      </c>
      <c r="H29" s="15">
        <v>50</v>
      </c>
      <c r="I29" s="15">
        <v>50</v>
      </c>
      <c r="J29" s="15">
        <v>0</v>
      </c>
      <c r="K29" s="15">
        <v>0</v>
      </c>
      <c r="L29" s="15">
        <v>100</v>
      </c>
      <c r="M29" s="15">
        <v>66.569999999999993</v>
      </c>
    </row>
    <row r="30" spans="1:13" x14ac:dyDescent="0.25">
      <c r="A30" s="15">
        <v>0</v>
      </c>
      <c r="B30" s="15">
        <v>5</v>
      </c>
      <c r="C30" s="15">
        <v>-14</v>
      </c>
      <c r="D30" s="15">
        <v>0</v>
      </c>
      <c r="E30" s="15">
        <v>0</v>
      </c>
      <c r="F30" s="15">
        <v>-25</v>
      </c>
      <c r="G30" s="15">
        <v>5</v>
      </c>
      <c r="H30" s="15">
        <v>50</v>
      </c>
      <c r="I30" s="15">
        <v>0</v>
      </c>
      <c r="J30" s="15">
        <v>-10</v>
      </c>
      <c r="K30" s="15">
        <v>100</v>
      </c>
      <c r="L30" s="15">
        <v>0</v>
      </c>
      <c r="M30" s="15">
        <v>52.97</v>
      </c>
    </row>
    <row r="31" spans="1:13" x14ac:dyDescent="0.25">
      <c r="A31" s="15">
        <v>100</v>
      </c>
      <c r="B31" s="15">
        <v>5</v>
      </c>
      <c r="C31" s="15">
        <v>-14</v>
      </c>
      <c r="D31" s="15">
        <v>7.0000000000000007E-2</v>
      </c>
      <c r="E31" s="15">
        <v>-0.7</v>
      </c>
      <c r="F31" s="15">
        <v>-25</v>
      </c>
      <c r="G31" s="15">
        <v>0</v>
      </c>
      <c r="H31" s="15">
        <v>0</v>
      </c>
      <c r="I31" s="15">
        <v>0</v>
      </c>
      <c r="J31" s="15">
        <v>-10</v>
      </c>
      <c r="K31" s="15">
        <v>100</v>
      </c>
      <c r="L31" s="15">
        <v>0</v>
      </c>
      <c r="M31" s="15">
        <v>49.61</v>
      </c>
    </row>
    <row r="32" spans="1:13" x14ac:dyDescent="0.25">
      <c r="A32" s="15">
        <v>-15</v>
      </c>
      <c r="B32" s="15">
        <v>-2</v>
      </c>
      <c r="C32" s="15">
        <v>-14</v>
      </c>
      <c r="D32" s="15">
        <v>-7.0000000000000007E-2</v>
      </c>
      <c r="E32" s="15">
        <v>5</v>
      </c>
      <c r="F32" s="15">
        <v>25</v>
      </c>
      <c r="G32" s="15">
        <v>247</v>
      </c>
      <c r="H32" s="15">
        <v>50</v>
      </c>
      <c r="I32" s="15">
        <v>0</v>
      </c>
      <c r="J32" s="15">
        <v>1</v>
      </c>
      <c r="K32" s="15">
        <v>100</v>
      </c>
      <c r="L32" s="15">
        <v>0</v>
      </c>
      <c r="M32" s="15">
        <v>29.81</v>
      </c>
    </row>
    <row r="33" spans="1:13" x14ac:dyDescent="0.25">
      <c r="A33" s="15">
        <v>100</v>
      </c>
      <c r="B33" s="15">
        <v>5</v>
      </c>
      <c r="C33" s="15">
        <v>-14</v>
      </c>
      <c r="D33" s="15">
        <v>-7.0000000000000007E-2</v>
      </c>
      <c r="E33" s="15">
        <v>0</v>
      </c>
      <c r="F33" s="15">
        <v>25</v>
      </c>
      <c r="G33" s="15">
        <v>5</v>
      </c>
      <c r="H33" s="15">
        <v>50</v>
      </c>
      <c r="I33" s="15">
        <v>0</v>
      </c>
      <c r="J33" s="15">
        <v>-10</v>
      </c>
      <c r="K33" s="15">
        <v>0</v>
      </c>
      <c r="L33" s="15">
        <v>100</v>
      </c>
      <c r="M33" s="15">
        <v>47.39</v>
      </c>
    </row>
    <row r="34" spans="1:13" x14ac:dyDescent="0.25">
      <c r="A34" s="15">
        <v>100</v>
      </c>
      <c r="B34" s="15">
        <v>-2</v>
      </c>
      <c r="C34" s="15">
        <v>-14</v>
      </c>
      <c r="D34" s="15">
        <v>0</v>
      </c>
      <c r="E34" s="15">
        <v>-0.7</v>
      </c>
      <c r="F34" s="15">
        <v>25</v>
      </c>
      <c r="G34" s="15">
        <v>0</v>
      </c>
      <c r="H34" s="15">
        <v>0</v>
      </c>
      <c r="I34" s="15">
        <v>50</v>
      </c>
      <c r="J34" s="15">
        <v>0</v>
      </c>
      <c r="K34" s="15">
        <v>0</v>
      </c>
      <c r="L34" s="15">
        <v>0</v>
      </c>
      <c r="M34" s="15">
        <v>63.48</v>
      </c>
    </row>
    <row r="35" spans="1:13" x14ac:dyDescent="0.25">
      <c r="A35" s="15">
        <v>-15</v>
      </c>
      <c r="B35" s="15">
        <v>5</v>
      </c>
      <c r="C35" s="15">
        <v>-14</v>
      </c>
      <c r="D35" s="15">
        <v>-7.0000000000000007E-2</v>
      </c>
      <c r="E35" s="15">
        <v>5</v>
      </c>
      <c r="F35" s="15">
        <v>0</v>
      </c>
      <c r="G35" s="15">
        <v>247</v>
      </c>
      <c r="H35" s="15">
        <v>50</v>
      </c>
      <c r="I35" s="15">
        <v>0</v>
      </c>
      <c r="J35" s="15">
        <v>-10</v>
      </c>
      <c r="K35" s="15">
        <v>100</v>
      </c>
      <c r="L35" s="15">
        <v>100</v>
      </c>
      <c r="M35" s="15">
        <v>19.13</v>
      </c>
    </row>
    <row r="38" spans="1:13" x14ac:dyDescent="0.25">
      <c r="D38" t="s">
        <v>54</v>
      </c>
    </row>
    <row r="39" spans="1:13" ht="15.75" thickBot="1" x14ac:dyDescent="0.3"/>
    <row r="40" spans="1:13" x14ac:dyDescent="0.25">
      <c r="D40" s="18" t="s">
        <v>55</v>
      </c>
      <c r="E40" s="18"/>
    </row>
    <row r="41" spans="1:13" x14ac:dyDescent="0.25">
      <c r="D41" t="s">
        <v>56</v>
      </c>
      <c r="E41">
        <v>0.9075388373978619</v>
      </c>
    </row>
    <row r="42" spans="1:13" x14ac:dyDescent="0.25">
      <c r="D42" t="s">
        <v>53</v>
      </c>
      <c r="E42">
        <v>0.82362674138546288</v>
      </c>
    </row>
    <row r="43" spans="1:13" x14ac:dyDescent="0.25">
      <c r="D43" t="s">
        <v>57</v>
      </c>
      <c r="E43">
        <v>0.68998556662364896</v>
      </c>
    </row>
    <row r="44" spans="1:13" x14ac:dyDescent="0.25">
      <c r="D44" t="s">
        <v>58</v>
      </c>
      <c r="E44">
        <v>27.800805736663175</v>
      </c>
    </row>
    <row r="45" spans="1:13" ht="15.75" thickBot="1" x14ac:dyDescent="0.3">
      <c r="D45" s="16" t="s">
        <v>59</v>
      </c>
      <c r="E45" s="16">
        <v>34</v>
      </c>
    </row>
    <row r="47" spans="1:13" ht="15.75" thickBot="1" x14ac:dyDescent="0.3">
      <c r="D47" t="s">
        <v>52</v>
      </c>
    </row>
    <row r="48" spans="1:13" x14ac:dyDescent="0.25">
      <c r="D48" s="17"/>
      <c r="E48" s="17" t="s">
        <v>64</v>
      </c>
      <c r="F48" s="17" t="s">
        <v>65</v>
      </c>
      <c r="G48" s="17" t="s">
        <v>66</v>
      </c>
      <c r="H48" s="17" t="s">
        <v>67</v>
      </c>
      <c r="I48" s="17" t="s">
        <v>68</v>
      </c>
    </row>
    <row r="49" spans="4:12" x14ac:dyDescent="0.25">
      <c r="D49" t="s">
        <v>60</v>
      </c>
      <c r="E49">
        <v>12</v>
      </c>
      <c r="F49" s="20">
        <v>79402.677408631003</v>
      </c>
      <c r="G49" s="20">
        <v>6616.8897840525797</v>
      </c>
      <c r="H49" s="20">
        <v>8.5612885483209258</v>
      </c>
      <c r="I49">
        <v>1.2826323725277342E-5</v>
      </c>
    </row>
    <row r="50" spans="4:12" x14ac:dyDescent="0.25">
      <c r="D50" t="s">
        <v>61</v>
      </c>
      <c r="E50">
        <v>22</v>
      </c>
      <c r="F50" s="20">
        <v>17003.465591369051</v>
      </c>
      <c r="G50" s="20">
        <v>772.88479960768416</v>
      </c>
      <c r="H50" s="20"/>
    </row>
    <row r="51" spans="4:12" ht="15.75" thickBot="1" x14ac:dyDescent="0.3">
      <c r="D51" s="16" t="s">
        <v>62</v>
      </c>
      <c r="E51" s="16">
        <v>34</v>
      </c>
      <c r="F51" s="21">
        <v>96406.143000000011</v>
      </c>
      <c r="G51" s="21"/>
      <c r="H51" s="21"/>
      <c r="I51" s="16"/>
    </row>
    <row r="52" spans="4:12" ht="15.75" thickBot="1" x14ac:dyDescent="0.3"/>
    <row r="53" spans="4:12" x14ac:dyDescent="0.25">
      <c r="D53" s="17"/>
      <c r="E53" s="17" t="s">
        <v>69</v>
      </c>
      <c r="F53" s="17" t="s">
        <v>58</v>
      </c>
      <c r="G53" s="17" t="s">
        <v>70</v>
      </c>
      <c r="H53" s="17" t="s">
        <v>71</v>
      </c>
      <c r="I53" s="17" t="s">
        <v>72</v>
      </c>
      <c r="J53" s="17" t="s">
        <v>73</v>
      </c>
      <c r="K53" s="17" t="s">
        <v>74</v>
      </c>
      <c r="L53" s="17" t="s">
        <v>75</v>
      </c>
    </row>
    <row r="54" spans="4:12" x14ac:dyDescent="0.25">
      <c r="D54" t="s">
        <v>63</v>
      </c>
      <c r="E54" s="20">
        <v>1.876879284239686E-2</v>
      </c>
      <c r="F54" s="20">
        <v>2.164846143418812E-2</v>
      </c>
      <c r="G54" s="20">
        <v>0.86698045029456128</v>
      </c>
      <c r="H54" s="20">
        <v>0.39359263342636452</v>
      </c>
      <c r="I54" s="20">
        <v>-2.56501809631169E-2</v>
      </c>
      <c r="J54" s="20">
        <v>6.318776664791062E-2</v>
      </c>
      <c r="K54" s="20">
        <v>-2.56501809631169E-2</v>
      </c>
      <c r="L54" s="20">
        <v>6.318776664791062E-2</v>
      </c>
    </row>
    <row r="55" spans="4:12" x14ac:dyDescent="0.25">
      <c r="D55" t="s">
        <v>40</v>
      </c>
      <c r="E55" s="20">
        <v>0.11979003720592327</v>
      </c>
      <c r="F55" s="20">
        <v>9.999960185674682E-2</v>
      </c>
      <c r="G55" s="20">
        <v>1.1979051414377329</v>
      </c>
      <c r="H55" s="20">
        <v>0.24370088008821786</v>
      </c>
      <c r="I55" s="20">
        <v>-8.759644388590937E-2</v>
      </c>
      <c r="J55" s="20">
        <v>0.3271765182977559</v>
      </c>
      <c r="K55" s="20">
        <v>-8.759644388590937E-2</v>
      </c>
      <c r="L55" s="20">
        <v>0.3271765182977559</v>
      </c>
    </row>
    <row r="56" spans="4:12" x14ac:dyDescent="0.25">
      <c r="D56" t="s">
        <v>79</v>
      </c>
      <c r="E56" s="20">
        <v>0.16171821036557554</v>
      </c>
      <c r="F56" s="20">
        <v>1.5268157340582587</v>
      </c>
      <c r="G56" s="20">
        <v>0.10591861660721193</v>
      </c>
      <c r="H56" s="20">
        <v>0.91660678182193356</v>
      </c>
      <c r="I56" s="20">
        <v>-3.0047038201499623</v>
      </c>
      <c r="J56" s="20">
        <v>3.3281402408811136</v>
      </c>
      <c r="K56" s="20">
        <v>-3.0047038201499623</v>
      </c>
      <c r="L56" s="20">
        <v>3.3281402408811136</v>
      </c>
    </row>
    <row r="57" spans="4:12" x14ac:dyDescent="0.25">
      <c r="D57" t="s">
        <v>42</v>
      </c>
      <c r="E57" s="20">
        <v>2.9251557275555416E-2</v>
      </c>
      <c r="F57" s="20">
        <v>0.11653381622838782</v>
      </c>
      <c r="G57" s="20">
        <v>0.25101346735463465</v>
      </c>
      <c r="H57" s="20">
        <v>0.80413330598190225</v>
      </c>
      <c r="I57" s="20">
        <v>-0.21242478570057519</v>
      </c>
      <c r="J57" s="20">
        <v>0.270927900251686</v>
      </c>
      <c r="K57" s="20">
        <v>-0.21242478570057519</v>
      </c>
      <c r="L57" s="20">
        <v>0.270927900251686</v>
      </c>
    </row>
    <row r="58" spans="4:12" x14ac:dyDescent="0.25">
      <c r="D58" t="s">
        <v>43</v>
      </c>
      <c r="E58" s="20">
        <v>110.3718504732626</v>
      </c>
      <c r="F58" s="20">
        <v>100.58118157803227</v>
      </c>
      <c r="G58" s="20">
        <v>1.0973409612178258</v>
      </c>
      <c r="H58" s="20">
        <v>0.28435841234377096</v>
      </c>
      <c r="I58" s="20">
        <v>-98.220753139383064</v>
      </c>
      <c r="J58" s="20">
        <v>318.96445408590824</v>
      </c>
      <c r="K58" s="20">
        <v>-98.220753139383064</v>
      </c>
      <c r="L58" s="20">
        <v>318.96445408590824</v>
      </c>
    </row>
    <row r="59" spans="4:12" x14ac:dyDescent="0.25">
      <c r="D59" t="s">
        <v>44</v>
      </c>
      <c r="E59" s="20">
        <v>0.78782126415968368</v>
      </c>
      <c r="F59" s="20">
        <v>2.3703634245495722</v>
      </c>
      <c r="G59" s="20">
        <v>0.33236306973028379</v>
      </c>
      <c r="H59" s="20">
        <v>0.74276113702983837</v>
      </c>
      <c r="I59" s="20">
        <v>-4.1280116031584306</v>
      </c>
      <c r="J59" s="20">
        <v>5.7036541314777978</v>
      </c>
      <c r="K59" s="20">
        <v>-4.1280116031584306</v>
      </c>
      <c r="L59" s="20">
        <v>5.7036541314777978</v>
      </c>
    </row>
    <row r="60" spans="4:12" x14ac:dyDescent="0.25">
      <c r="D60" t="s">
        <v>45</v>
      </c>
      <c r="E60" s="20">
        <v>-0.15642760099800171</v>
      </c>
      <c r="F60" s="20">
        <v>0.29232449295602531</v>
      </c>
      <c r="G60" s="20">
        <v>-0.53511629975368946</v>
      </c>
      <c r="H60" s="20">
        <v>0.59793739064430629</v>
      </c>
      <c r="I60" s="20">
        <v>-0.76267149402820267</v>
      </c>
      <c r="J60" s="20">
        <v>0.44981629203219931</v>
      </c>
      <c r="K60" s="20">
        <v>-0.76267149402820267</v>
      </c>
      <c r="L60" s="20">
        <v>0.44981629203219931</v>
      </c>
    </row>
    <row r="61" spans="4:12" x14ac:dyDescent="0.25">
      <c r="D61" t="s">
        <v>46</v>
      </c>
      <c r="E61" s="20">
        <v>-4.4576607432317839E-2</v>
      </c>
      <c r="F61" s="20">
        <v>5.3494131955371803E-2</v>
      </c>
      <c r="G61" s="20">
        <v>-0.83329901435743403</v>
      </c>
      <c r="H61" s="20">
        <v>0.41363198010950497</v>
      </c>
      <c r="I61" s="20">
        <v>-0.15551664698546755</v>
      </c>
      <c r="J61" s="20">
        <v>6.6363432120831872E-2</v>
      </c>
      <c r="K61" s="20">
        <v>-0.15551664698546755</v>
      </c>
      <c r="L61" s="20">
        <v>6.6363432120831872E-2</v>
      </c>
    </row>
    <row r="62" spans="4:12" x14ac:dyDescent="0.25">
      <c r="D62" t="s">
        <v>47</v>
      </c>
      <c r="E62" s="20">
        <v>0.45293125944779494</v>
      </c>
      <c r="F62" s="20">
        <v>0.21565314492443688</v>
      </c>
      <c r="G62" s="20">
        <v>2.1002766252562575</v>
      </c>
      <c r="H62" s="20">
        <v>4.7391009031267549E-2</v>
      </c>
      <c r="I62" s="20">
        <v>5.6940101802015475E-3</v>
      </c>
      <c r="J62" s="20">
        <v>0.90016850871538834</v>
      </c>
      <c r="K62" s="20">
        <v>5.6940101802015475E-3</v>
      </c>
      <c r="L62" s="20">
        <v>0.90016850871538834</v>
      </c>
    </row>
    <row r="63" spans="4:12" x14ac:dyDescent="0.25">
      <c r="D63" t="s">
        <v>48</v>
      </c>
      <c r="E63" s="20">
        <v>0.66375937137843588</v>
      </c>
      <c r="F63" s="20">
        <v>0.18744547351772275</v>
      </c>
      <c r="G63" s="20">
        <v>3.5410797546715802</v>
      </c>
      <c r="H63" s="20">
        <v>1.8339569056139765E-3</v>
      </c>
      <c r="I63" s="20">
        <v>0.27502125214951334</v>
      </c>
      <c r="J63" s="20">
        <v>1.0524974906073585</v>
      </c>
      <c r="K63" s="20">
        <v>0.27502125214951334</v>
      </c>
      <c r="L63" s="20">
        <v>1.0524974906073585</v>
      </c>
    </row>
    <row r="64" spans="4:12" x14ac:dyDescent="0.25">
      <c r="D64" t="s">
        <v>49</v>
      </c>
      <c r="E64" s="20">
        <v>-0.92276370858076517</v>
      </c>
      <c r="F64" s="20">
        <v>0.99126351971278548</v>
      </c>
      <c r="G64" s="20">
        <v>-0.93089646721603569</v>
      </c>
      <c r="H64" s="20">
        <v>0.36201054845943015</v>
      </c>
      <c r="I64" s="20">
        <v>-2.9785184253088621</v>
      </c>
      <c r="J64" s="20">
        <v>1.132991008147332</v>
      </c>
      <c r="K64" s="20">
        <v>-2.9785184253088621</v>
      </c>
      <c r="L64" s="20">
        <v>1.132991008147332</v>
      </c>
    </row>
    <row r="65" spans="4:12" x14ac:dyDescent="0.25">
      <c r="D65" t="s">
        <v>50</v>
      </c>
      <c r="E65" s="20">
        <v>6.5606273067890325E-2</v>
      </c>
      <c r="F65" s="20">
        <v>0.12043229234498835</v>
      </c>
      <c r="G65" s="20">
        <v>0.54475649172196838</v>
      </c>
      <c r="H65" s="20">
        <v>0.59140092401171362</v>
      </c>
      <c r="I65" s="20">
        <v>-0.18415501453232519</v>
      </c>
      <c r="J65" s="20">
        <v>0.31536756066810584</v>
      </c>
      <c r="K65" s="20">
        <v>-0.18415501453232519</v>
      </c>
      <c r="L65" s="20">
        <v>0.31536756066810584</v>
      </c>
    </row>
    <row r="66" spans="4:12" ht="15.75" thickBot="1" x14ac:dyDescent="0.3">
      <c r="D66" s="16" t="s">
        <v>77</v>
      </c>
      <c r="E66" s="21">
        <v>0.11040277028658119</v>
      </c>
      <c r="F66" s="21">
        <v>0.11328466785178334</v>
      </c>
      <c r="G66" s="21">
        <v>0.97456056834652416</v>
      </c>
      <c r="H66" s="21">
        <v>0.34037308520065745</v>
      </c>
      <c r="I66" s="21">
        <v>-0.12453525137768531</v>
      </c>
      <c r="J66" s="21">
        <v>0.34534079195084766</v>
      </c>
      <c r="K66" s="21">
        <v>-0.12453525137768531</v>
      </c>
      <c r="L66" s="21">
        <v>0.34534079195084766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6060-3CF8-480A-9AE1-DC4AFD46B705}">
  <dimension ref="A1:G18"/>
  <sheetViews>
    <sheetView tabSelected="1" workbookViewId="0">
      <selection activeCell="W29" sqref="W29"/>
    </sheetView>
  </sheetViews>
  <sheetFormatPr defaultRowHeight="15" x14ac:dyDescent="0.25"/>
  <cols>
    <col min="1" max="1" width="35.28515625" bestFit="1" customWidth="1"/>
    <col min="2" max="2" width="19.7109375" customWidth="1"/>
    <col min="3" max="3" width="14.28515625" customWidth="1"/>
    <col min="4" max="4" width="22.140625" customWidth="1"/>
  </cols>
  <sheetData>
    <row r="1" spans="1:4" x14ac:dyDescent="0.25">
      <c r="A1" s="22" t="s">
        <v>37</v>
      </c>
      <c r="B1" s="22" t="s">
        <v>84</v>
      </c>
      <c r="C1" s="22" t="s">
        <v>81</v>
      </c>
      <c r="D1" s="22" t="s">
        <v>82</v>
      </c>
    </row>
    <row r="2" spans="1:4" x14ac:dyDescent="0.25">
      <c r="A2" s="23" t="s">
        <v>63</v>
      </c>
      <c r="B2" s="28">
        <v>73.471909999999994</v>
      </c>
      <c r="C2" s="24"/>
      <c r="D2" s="15">
        <v>0</v>
      </c>
    </row>
    <row r="3" spans="1:4" x14ac:dyDescent="0.25">
      <c r="A3" s="23" t="s">
        <v>40</v>
      </c>
      <c r="B3" s="29">
        <v>-15</v>
      </c>
      <c r="C3" s="4">
        <v>0.139784294</v>
      </c>
      <c r="D3" s="15">
        <v>0</v>
      </c>
    </row>
    <row r="4" spans="1:4" x14ac:dyDescent="0.25">
      <c r="A4" s="23" t="s">
        <v>41</v>
      </c>
      <c r="B4" s="29">
        <v>-0.05</v>
      </c>
      <c r="C4" s="4">
        <v>0.36417962700000001</v>
      </c>
      <c r="D4" s="15">
        <v>0</v>
      </c>
    </row>
    <row r="5" spans="1:4" x14ac:dyDescent="0.25">
      <c r="A5" s="23" t="s">
        <v>42</v>
      </c>
      <c r="B5" s="29">
        <v>-15</v>
      </c>
      <c r="C5" s="4">
        <v>-4.8905574E-2</v>
      </c>
      <c r="D5" s="15">
        <v>0</v>
      </c>
    </row>
    <row r="6" spans="1:4" x14ac:dyDescent="0.25">
      <c r="A6" s="23" t="s">
        <v>43</v>
      </c>
      <c r="B6" s="29">
        <v>7.0000000000000007E-2</v>
      </c>
      <c r="C6" s="4">
        <v>-7.0972730589999999</v>
      </c>
      <c r="D6" s="15">
        <v>0</v>
      </c>
    </row>
    <row r="7" spans="1:4" x14ac:dyDescent="0.25">
      <c r="A7" s="23" t="s">
        <v>44</v>
      </c>
      <c r="B7" s="29">
        <v>5</v>
      </c>
      <c r="C7" s="4">
        <v>-1.5648822689999999</v>
      </c>
      <c r="D7" s="15">
        <v>0</v>
      </c>
    </row>
    <row r="8" spans="1:4" x14ac:dyDescent="0.25">
      <c r="A8" s="23" t="s">
        <v>45</v>
      </c>
      <c r="B8" s="29">
        <v>-25</v>
      </c>
      <c r="C8" s="4">
        <v>0.128682975</v>
      </c>
      <c r="D8" s="15">
        <v>0</v>
      </c>
    </row>
    <row r="9" spans="1:4" x14ac:dyDescent="0.25">
      <c r="A9" s="23" t="s">
        <v>46</v>
      </c>
      <c r="B9" s="29">
        <v>250</v>
      </c>
      <c r="C9" s="4">
        <v>-0.17352880600000001</v>
      </c>
      <c r="D9" s="15">
        <v>0</v>
      </c>
    </row>
    <row r="10" spans="1:4" x14ac:dyDescent="0.25">
      <c r="A10" s="23" t="s">
        <v>47</v>
      </c>
      <c r="B10" s="29">
        <v>0</v>
      </c>
      <c r="C10" s="4">
        <v>-1.9103910000000002E-2</v>
      </c>
      <c r="D10" s="15">
        <v>0</v>
      </c>
    </row>
    <row r="11" spans="1:4" x14ac:dyDescent="0.25">
      <c r="A11" s="23" t="s">
        <v>48</v>
      </c>
      <c r="B11" s="29">
        <v>0</v>
      </c>
      <c r="C11" s="4">
        <v>-0.115747155</v>
      </c>
      <c r="D11" s="15">
        <v>0</v>
      </c>
    </row>
    <row r="12" spans="1:4" x14ac:dyDescent="0.25">
      <c r="A12" s="23" t="s">
        <v>49</v>
      </c>
      <c r="B12" s="29">
        <v>-10</v>
      </c>
      <c r="C12" s="4">
        <v>0.834797597</v>
      </c>
      <c r="D12" s="15">
        <v>0</v>
      </c>
    </row>
    <row r="13" spans="1:4" x14ac:dyDescent="0.25">
      <c r="A13" s="23" t="s">
        <v>50</v>
      </c>
      <c r="B13" s="29">
        <v>100</v>
      </c>
      <c r="C13" s="4">
        <v>-7.6553652E-2</v>
      </c>
      <c r="D13" s="15">
        <v>0</v>
      </c>
    </row>
    <row r="14" spans="1:4" x14ac:dyDescent="0.25">
      <c r="A14" s="23" t="s">
        <v>51</v>
      </c>
      <c r="B14" s="29">
        <v>2.7967789999999999</v>
      </c>
      <c r="C14" s="4">
        <v>-0.158328475</v>
      </c>
      <c r="D14" s="15">
        <v>0</v>
      </c>
    </row>
    <row r="18" spans="2:7" x14ac:dyDescent="0.25">
      <c r="B18" s="26" t="s">
        <v>80</v>
      </c>
      <c r="C18" s="27">
        <v>19</v>
      </c>
      <c r="E18" s="25" t="s">
        <v>83</v>
      </c>
      <c r="F18" s="25"/>
      <c r="G18">
        <v>68.48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Forcasting</vt:lpstr>
      <vt:lpstr>Sensitivity </vt:lpstr>
      <vt:lpstr>Regression</vt:lpstr>
      <vt:lpstr>Optimization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Trivikram Vikky</dc:creator>
  <cp:lastModifiedBy>Trivikram Vikky</cp:lastModifiedBy>
  <dcterms:created xsi:type="dcterms:W3CDTF">2015-06-05T18:17:20Z</dcterms:created>
  <dcterms:modified xsi:type="dcterms:W3CDTF">2025-12-25T16:12:03Z</dcterms:modified>
</cp:coreProperties>
</file>